
<file path=[Content_Types].xml><?xml version="1.0" encoding="utf-8"?>
<Types xmlns="http://schemas.openxmlformats.org/package/2006/content-types">
  <Default Extension="xml" ContentType="application/xml"/>
  <Default Extension="emf" ContentType="image/x-e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e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10500" tabRatio="294"/>
  </bookViews>
  <sheets>
    <sheet name="所有客诉" sheetId="3" r:id="rId1"/>
    <sheet name="客户退回件台账" sheetId="11" r:id="rId2"/>
  </sheets>
  <definedNames>
    <definedName name="_xlnm._FilterDatabase" localSheetId="0" hidden="1">所有客诉!$A$2:$Y$162</definedName>
    <definedName name="_xlnm._FilterDatabase" localSheetId="1" hidden="1">客户退回件台账!$C$2:$Q$6</definedName>
    <definedName name="OLE_LINK1" localSheetId="0">所有客诉!#REF!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<sst xmlns="http://schemas.openxmlformats.org/spreadsheetml/2006/main" count="1207" uniqueCount="448">
  <si>
    <t>2026年海外客诉台账</t>
  </si>
  <si>
    <t>编号</t>
  </si>
  <si>
    <t>分公司</t>
  </si>
  <si>
    <t>国家或地区</t>
  </si>
  <si>
    <t>是否大客户</t>
  </si>
  <si>
    <t>投诉日期</t>
  </si>
  <si>
    <t>应结案日期</t>
  </si>
  <si>
    <t>结案预警</t>
  </si>
  <si>
    <t>实际完成日期</t>
  </si>
  <si>
    <t>完成周期（天）</t>
  </si>
  <si>
    <t>机型属性</t>
  </si>
  <si>
    <t>故障比例</t>
  </si>
  <si>
    <t>问题描述</t>
  </si>
  <si>
    <t>客户诉求</t>
  </si>
  <si>
    <t>跟进人</t>
  </si>
  <si>
    <t>处理类型</t>
  </si>
  <si>
    <t>结案状态</t>
  </si>
  <si>
    <t>应急措施</t>
  </si>
  <si>
    <t>原因分析</t>
  </si>
  <si>
    <t>长期整改措施</t>
  </si>
  <si>
    <t>责任单位</t>
  </si>
  <si>
    <t>故障大类</t>
  </si>
  <si>
    <t>品质负责人</t>
  </si>
  <si>
    <t>8D报告</t>
  </si>
  <si>
    <t>8D措施点检</t>
  </si>
  <si>
    <t>备注</t>
  </si>
  <si>
    <t>东欧</t>
  </si>
  <si>
    <t>澳大利亚</t>
  </si>
  <si>
    <t>否</t>
  </si>
  <si>
    <t>变频整机</t>
  </si>
  <si>
    <t>【问题描述】澳大利亚T客户反馈MO2504110516 TWS26H3DVKT内机电机噪音大,如下视频，业务带回一个电机供分析，请做分析整改。  
【订单号】MO2504110516
【订单数量】690
【故障数量】7 
【客户需求】分析并整改。</t>
  </si>
  <si>
    <t>提供分析报告</t>
  </si>
  <si>
    <t>陈耀球</t>
  </si>
  <si>
    <t>客服</t>
  </si>
  <si>
    <t>暂停</t>
  </si>
  <si>
    <t>无</t>
  </si>
  <si>
    <t>电机本体测试有电磁声但是开发和品质确认为正常</t>
  </si>
  <si>
    <t>北美</t>
  </si>
  <si>
    <t>美国</t>
  </si>
  <si>
    <t>8</t>
  </si>
  <si>
    <t>天花机</t>
  </si>
  <si>
    <t>【问题描述】北美R客户反馈收到的面板丝印颜色与要求不一致，要求为蓝色，实际为黑色。
【订单号】MO2509122645
【机型】面板 RDZ-9KCC230V-I(美国3 RAMSOND品牌) 中性
【条码】2JX02MN2788ZNA230011(MO2509122645)
【订单数量】230
【不良率】100%
【客户诉求】要求分析原因并输出改善措施。</t>
  </si>
  <si>
    <t>郑小平</t>
  </si>
  <si>
    <t>结案</t>
  </si>
  <si>
    <t>/</t>
  </si>
  <si>
    <t>1.下发车间的订单丝印商标颜色只有文字信息；
2.小天花机面板生产时，品质首检核对时打印成黑白图纸图案，无有效核对丝印商标的颜色，误认为黑色。</t>
  </si>
  <si>
    <t xml:space="preserve">
1.所有图纸均需使用电脑或平板电脑查阅，确保调取的为电子版彩色最新图纸，严禁使用黑白图纸或旧版图纸作业。
2.首检执行流程
班组丝印操作员工首先根据最新图纸完成首件制作，并进行首检。
巡检人员在此基础上，再次依图纸核对首件，完成第二轮首检确认。
3.客户商标案例制作
在日常首检与巡检过程中，应注意积累并系统整理各类客户商标的实际制作案例，形成可参照的样本库，用于后续培训与质量对照。</t>
  </si>
  <si>
    <t>商用制造/商用品质</t>
  </si>
  <si>
    <t>装配问题</t>
  </si>
  <si>
    <t>吴洪旭</t>
  </si>
  <si>
    <t>有</t>
  </si>
  <si>
    <t>战略OEM</t>
  </si>
  <si>
    <t>尼日利亚</t>
  </si>
  <si>
    <t>是</t>
  </si>
  <si>
    <t>6</t>
  </si>
  <si>
    <t>定频散件</t>
  </si>
  <si>
    <t xml:space="preserve">【客诉描述】尼日利亚LG反馈货物在货柜里倒柜、散落在里面，造成物料损坏问题，这是第三次投诉，客户要求彻底整改，防止货物损坏。经查为压缩机附件问题。
【订单号】AMO2510123807SF，
【柜号】SSWH20251105114312
【客户需求】客户要求彻底整改，防止货物损坏。
</t>
  </si>
  <si>
    <t>彻底整改</t>
  </si>
  <si>
    <t>方益勋</t>
  </si>
  <si>
    <t>品质</t>
  </si>
  <si>
    <t xml:space="preserve">1、生产打包压缩机附件未按要求贴二级标贴，生产外箱三级总标识，影响仓库扫码装柜；
2、仓库装柜将压缩机附件围膜拆散扫码，未重新围膜再装柜导致客户开柜货物掉落；
3、工艺、品质对生产打包未按要求执行监控不到位，仓库装柜发现异常未反馈处理。
</t>
  </si>
  <si>
    <t xml:space="preserve">1、针对散件线下打包要求使用打包围膜防护或者使用木箱打包
2、生产、品质、仓库针对工艺包装方案不合理问题反馈组织解决再生产
</t>
  </si>
  <si>
    <t>散件工厂/仓储物流</t>
  </si>
  <si>
    <t>装柜问题</t>
  </si>
  <si>
    <t>黄敬阳</t>
  </si>
  <si>
    <t>印尼</t>
  </si>
  <si>
    <t>2</t>
  </si>
  <si>
    <t>变频散件</t>
  </si>
  <si>
    <t>【客诉描述】印尼松下客户反馈散件样机单，9K机型其中一台的毛细管组件管径(应该是三通内径)和冷凝器的输出管外径相同，导致无法装配，而其他样机则无该问题，推测应该是混料了。
【订单号】单号为MO2512128425SF。
【机型】外机：CU-DN9CKJ-S
【销售数量】3套
【不良数量】1台
【故障率】目前不良率33.3%
【客户需求】提供原因分析和整改措施。</t>
  </si>
  <si>
    <t>1、排查K0204-111215毛细管部件焊检首检记录，未发现班组进行首检，班组违规生产
2、12月15日总装线下包进行打包，共检验1件，核对检查符合图纸要求，目视其余两件毛细管部件无异常，未进行检验，导致问题件流出</t>
  </si>
  <si>
    <t>1、小批量（20件及以下）首检及埋拉、补数件需要全检并由巡检签字确认并完善至SIP工序作业指导卡，总装检验员和巡检落实监督，朱一铭，唐文博，1.16
2、完善线下包检验抽检要求，全散管路打包件/两器件，20件及以下需要全检检验，朱一铭，1.23
3、举一反三，增加线下包内配外径和外配内径检验互配工装通止规、塞规申购，朱一铭，1.25</t>
  </si>
  <si>
    <t>广州工厂/制程品管</t>
  </si>
  <si>
    <t>中东</t>
  </si>
  <si>
    <t>沙特</t>
  </si>
  <si>
    <t>4</t>
  </si>
  <si>
    <t>【客诉描述】沙特散件C客户反馈30K室外机内部放置的回气管组件装不上，详见客户提供的照片和视频。
【订单号】MO2504111888SF
【机型】DW30E6AA3XTS00 / DT30E6YG3XTS00
【订单数量】250套
【不良数量】目前发现22台（待完成生产后更新）
【客户需求】要求分析改善并提供解决方案。</t>
  </si>
  <si>
    <t>要求分析改善并提供解决方案。</t>
  </si>
  <si>
    <t>跟客户建立群里，适时跟进生产情况。</t>
  </si>
  <si>
    <t>1、30K机型生产时间在5月19日11点~13点45分；36K机型生产时间在5月19日13点15分~15点45分，两种机型存在同时在线上情况。
2、排查OQC结构抽检、埋拉机抽检信息均OK；客诉机非埋拉机，OQC结构抽检未抽中客诉机。
综上，混料原因为转批次时，生产过程中上回气管岗位线边同时存在30K、36K两款机型的回气管，员工拿取物料时未做区分，导致两个批次衔接过程中回气管混料，因散件不做焊接，后续工序难以发现混料。</t>
  </si>
  <si>
    <t xml:space="preserve">
1、临时措施：由中山一厂牵头，全面排查散件机型库存，重点核查30K/36K回气管是否存在混料，已完工批次追溯至OQC库存，确保无同类问题流出——责任人：刘见东，完成时间2月26日
2、针对 30K/36K 机型回气管外观高度相似的现状，对两种物料包装箱分别喷涂不同颜色的醒目标识（ 30K 喷黄色、36K 喷红色），同时在装配工位张贴对应的颜色比对卡，实现 “颜色对颜色、标签对标签” 的视觉防错机制，从物理层面规避因视觉混淆导致混料；——责任人：蔡绍银，完成时间3月5日
3、生产计划部优化散件机型排产规则，对易混料的机型实施差异化线体排产，将其分配至不同线体独立生产，从排产端规避混料风险；
4、总装、巡检人员在开线前做好技术准备工作，提前排查不同批次易混淆物料，前端预防——责任人：陈欣，完成时间2月25日；
5、制程品管部为易混淆机型制作回气管质量履历卡，随物料流转至各作业环节，卡片醒目标注“注意型号区分” 提醒字样，强化岗位警惕性；责任人——周若飞，完成时间3月5日
6、针对此单混料问题，后续生产散件订单时，要求班组执行转批次清退物料，避免线边同时存在两个批次相似物料，线边物料存放区域实行“一机型一区域、一订单一标识”分区管理，杜绝员工拿错物料风险。——责任人：陈欣，完成时间2月25日；
</t>
  </si>
  <si>
    <t>中山一厂</t>
  </si>
  <si>
    <t>巴勒斯坦</t>
  </si>
  <si>
    <t>【问题描述】巴勒斯坦P品牌客户反馈PP++25 INV有10台出现制冷时运行没有问题，在换制热后没多久出现四通阀根部泄漏问题，如视频，请做分析整改。  
【订单号】MO241197078
【原型机编码】Z2U20101008408
【订单数量】636
【故障数量】10 
【客户需求】分析并整改。</t>
  </si>
  <si>
    <t>提供10个四通阀</t>
  </si>
  <si>
    <t>机型和南非一样，分析为铜钢四通阀特性，焊接因为不同材料在运输和运行振动下出现泄漏，已更改为全钢四通阀，没做具体分析。</t>
  </si>
  <si>
    <t>机型和四通阀跟南非的一样，分析为铜钢四通阀焊接问题，该机型已更换未全钢四通阀。</t>
  </si>
  <si>
    <t>性能开发部</t>
  </si>
  <si>
    <t>裂管/漏氟</t>
  </si>
  <si>
    <t>南亚</t>
  </si>
  <si>
    <t>约旦</t>
  </si>
  <si>
    <t>【客诉描述】约旦 GREAT PRO 品牌660D外机E9故障，客户退回电装样品一个
【订单号】MO241299921
【机型】挂机外机 GR-12PRO (约旦 GREAT PRO品牌) 660D Φ7×1
【机型编码】Z4U20103085183_CD
【电控编码】31201-003477_CD
【订单数量】536套
【不良数量】30台
【故障率】目前不良率5.5%</t>
  </si>
  <si>
    <t>寄回故障电装一个，确认原因，需要提供备件更换</t>
  </si>
  <si>
    <t>黄忠成</t>
  </si>
  <si>
    <t>业务下易损件30个电装随大货发给客户，万颗子补料100个电装后续随大货发出</t>
  </si>
  <si>
    <t>1、退件分析：确认是主板上IC8/ C26/C35 位号电容错误，正常电容100PF，实际用成330pf.----初步确认是过程混料导致，已反馈万颗子调查；
（备注：此单问题生产过程中商检测试有拦截，上电测试第一次报IPM故障43台，第二次测试正常， 整批次封库返包，只对报故障的机器更换电控，实际原因未调查清楚，返包方案对风险评估不充分，导致问题流出）
2、异常流出反查：
商检测试阶段虽拦截部分异常（43台IPM故障），但未深入分析故障模式与电容规格的关联。</t>
  </si>
  <si>
    <t>1、在所有SMT线部署电子料架+图像识别防错系统
2、使用跟踪表记录三方确认无误方可开线
3、贴片机参数调整，高度、间距和浮起引脚检测由0.15调整至0.05可以成功拦截故障件，检验设备调整后异常件触发ANS报警，成功拦截
4、已组风险评估小组（质量、技术、采购、研发等部门），完成3次联合风险评估制定《返包风险评估标准》
5、组织物料管理、测试操作、返包流程专项培训，强化规格核对意识，开展质量案例分享会，将本次问题纳入内部警示教材</t>
  </si>
  <si>
    <t>万颗子</t>
  </si>
  <si>
    <t>电控</t>
  </si>
  <si>
    <t>非洲</t>
  </si>
  <si>
    <t>毛里求斯</t>
  </si>
  <si>
    <t>【问题描述】非洲客户反馈SFND-18CRN1外机刚安装两周就出现了5台冷凝器泄漏的问题，客户发现这些泄漏机器的冷凝器短U处有明显的裂口，以及有两台是刚安装两三天就出现了泄漏问题。客户需要我们帮忙分析为什么机器刚安装不久就会出现泄漏出现裂口，并准备14个冷凝器给客户补料
【订单号】MO2509122631
【订单数量】90
【不良数量】7
【不良率】7.78%
【条码】如下图
【客户诉求】分析为什么机器刚安装不久就会出现泄漏出现裂口，并准备14个冷凝器给客户补料</t>
  </si>
  <si>
    <t>分析为什么机器刚安装不久就会出现泄漏出现裂口，并准备14个冷凝器给客户补料</t>
  </si>
  <si>
    <t>曾靖衍</t>
  </si>
  <si>
    <t>关闭</t>
  </si>
  <si>
    <t>工厂给客户准备20件冷凝器，跟大货一起发</t>
  </si>
  <si>
    <t>客户反馈的不良机器管路向内弯折，应该是由于摔机或者运输过程中造成的管路弯折从而导致运行几天就发生管裂导致冷媒泄露。调客户的库存机器回来拆机分析，库存机器的管路状态良好，冷凝器进口管和出口管都是笔直的状态，与客户的不良机器管路状态形成鲜明对比</t>
  </si>
  <si>
    <t>与客户沟通，让客户后续在机器运输的过程注意不要倒放仪避免机器在运输过程中遭受应力过大</t>
  </si>
  <si>
    <t>客户端的原因导致，查明原因并沟通清楚后关闭案例</t>
  </si>
  <si>
    <t>西欧</t>
  </si>
  <si>
    <t>立陶宛</t>
  </si>
  <si>
    <t>5</t>
  </si>
  <si>
    <t>【问题描述】意大利Nordis 品牌客户反馈发到立陶宛MO2510124479 T-plus订单所有200套黑色面板的内机撕开覆膜后有明显印迹而且擦不掉。
【订单号】MO2510124479
【订单数量】200
【故障数量】200 
【客户需求】重新补发200台内机。</t>
  </si>
  <si>
    <t>重新提供新内机</t>
  </si>
  <si>
    <t xml:space="preserve">1、该批次黑色喷涂件中框采用了胶粘膜（有胶）进行覆膜，同步核实封样件薄膜为胶粘膜。经分析胶黏膜膜配方中的助剂析出会在喷涂件表面形成一层牢固的污染物，同时胶粘膜贴合区域的喷涂油漆出现腐蚀、溶解现象，在撕膜时连同底漆一起撕下，使得喷涂表面变得粗糙，呈现出白色雾状。喷涂表面受损，所以擦不掉。
2、工厂内部未对喷涂件覆膜进行充分验证，对覆膜后的产品风险评估不足是此次质量事故的主要原因. </t>
  </si>
  <si>
    <t xml:space="preserve">1、取消喷涂件薄膜覆膜包装方案，更改为珍珠棉包装
2、组织研发、DQA梳理注塑件覆膜通用要求标准
3、组织供方参与覆膜要求标准制定
</t>
  </si>
  <si>
    <t>制造工艺部</t>
  </si>
  <si>
    <t>外观不良</t>
  </si>
  <si>
    <t>意大利</t>
  </si>
  <si>
    <t>1</t>
  </si>
  <si>
    <t>【问题描述】意大利O品牌客户反馈ONE PRO12Y/24-UI 目前出现有3台内机WIFI座插反导致WIFI无法使用，如图，请做分析整改。  
【订单号】MO240990943，MO2412100896F
【机器型号】ONE PRO12Y/24-UI
【订单数量】400+550
【故障数量】3 
【客户需求】分析并整改。</t>
  </si>
  <si>
    <t>给出原因分析</t>
  </si>
  <si>
    <t>给客户提供控制板更换</t>
  </si>
  <si>
    <t>供应商万颗子在生产过程插反WIFI座，因是客户后单独购买WIFI装上在生产过程中无法发现。</t>
  </si>
  <si>
    <t>已在WIFI座上加凸起柱防呆，确保在反向的情况下无法插入</t>
  </si>
  <si>
    <t>东南亚</t>
  </si>
  <si>
    <t>中国台湾</t>
  </si>
  <si>
    <t>【问题描述】台湾远扬客户反馈这一批整机订单的900AX内机，在上线开箱的时候发现底座卡扣断裂的问题，目前生产100台已经有发现14台不良，客户需要我们分析原因并提供改善措施，待客户全部生产完以后，统计具体的不良数量给客户补料
【订单号】MO2512132085F
【机型】FRE32-36TI-F
【条码】见图片
【订单数量】150
【不良数量】19
【不良率】12.67%
【客户诉求】核实原因并提供改善措施，待确认不良数量后给客户补料</t>
  </si>
  <si>
    <t>核实原因并提供改善措施，给客户补料</t>
  </si>
  <si>
    <t>给客户准备20个底座并跟随大货发给客户</t>
  </si>
  <si>
    <t>1、900XC底座挂墙板卡扣直角位置有掏薄设计，员工组装时存在暴力拍压挂墙板的操作，导致卡扣扣位屈服；且组装后部分排水管、线管等配件未整理到位，持续顶住卡扣，使其长时间受力，最终引发卡扣断裂不良</t>
  </si>
  <si>
    <t>1、研发、模具管理部确认改模方案，将900XC底座所有模号的挂墙板卡扣掏薄位置加胶填平，将厚度加到2.5mm左右，另外增加四条连接筋，进一步增加卡扣强度；
2、注塑厂家负责按模具整改方案，进行卡扣结构改模，增厚加筋达到强度要求；
3、落实装配检测要求，增加破坏性检测内容；；
4、档案备案：建立历史技术要求沉淀信息</t>
  </si>
  <si>
    <t>结构不良</t>
  </si>
  <si>
    <t>签批版8D报告显示问题已解决，取消责任考核；
故障样品寄回分析调查，结案周期较长。</t>
  </si>
  <si>
    <t>巴基斯坦</t>
  </si>
  <si>
    <t>【问题描述】巴基斯坦PEL客户反馈18K900AX内机空壳机，开箱发现底座卡扣断裂的问题，断裂位置为挂墙板卡扣
【订单号】MO2511127919S
【机型】PINVO-18K Cool Breeze
【订单数量】750
【不良数量】175
【不良率】23%
【客户诉求】核实原因并提供改善措施，待确认不良数量后给客户补料</t>
  </si>
  <si>
    <t xml:space="preserve">散件工厂准备175个新底座随大货补料；
</t>
  </si>
  <si>
    <t>部品不良</t>
  </si>
  <si>
    <t>波兰</t>
  </si>
  <si>
    <t>【问题描述】波兰R品牌客户反馈M02511127706收到货后发现纸箱和标贴型号不对，标贴和条码型号不对，客户抽检84台36台都有问题，请提供处理方案。  
【订单号】MO2511127706
【机器型号】LOP35Xo R16
【订单数量】300
【故障数量】36 
【客户需求】提供处理方案。</t>
  </si>
  <si>
    <t>提供处理方案</t>
  </si>
  <si>
    <t xml:space="preserve">一、 标贴错误为生产过程中，前后批次相似物料在机身及纸箱均需粘贴，班组未重视，区分不到位直接上线使用，员工未识别出差异，直接使用导致错误。
二、 纸箱错误为生产过程中，套错上批次纸箱，拦截后班组违规操作，巡检未监控到位导致流出。
</t>
  </si>
  <si>
    <t>1.物料对标贴物料按照工单要求数量点数配送，配送至线上与班组交接数量并确认.
2.标贴预装的在生产时在贴完标贴后增加专检
3.针对纸箱警示标贴分岗位粘贴，要求三组组长上线点数区分并分派给机身和纸箱岗位，并通报当线质量日常管理群，在当批次生产完成后对尾料回收至标贴柜，巡检监督执行
4.对警示标贴及其他带有指定型号未通用标准化物料，拉通新品工艺、研发确认是否更改通用。减少生产端用错风险
5.对班组违规生成条码扫码过线人员落实考核处理</t>
  </si>
  <si>
    <t>南美</t>
  </si>
  <si>
    <t>巴西</t>
  </si>
  <si>
    <t>窗机</t>
  </si>
  <si>
    <t>【问题描述】巴西KIAN客户反馈目前有十几台窗机插上电源无法开机，客户工程师检查出来是PCB的开关电源芯片有问题，换上备件PCB后可以正常运行。
【订单号】MO2508120742
【机器型号】KV-ACJ-ELET-12-127
【订单数量】1872
【故障数量】10台以上 
【客户需求】由于故障数量多，易损件备料已用完，要求尽快DHL寄20个PCB给他们。</t>
  </si>
  <si>
    <t>核查原因和尽快补料</t>
  </si>
  <si>
    <t>万颗子补料20个PCB寄出给客户</t>
  </si>
  <si>
    <t>1、初级绕组与次级绕组间距太近，实测只有2.2mm，不能满足大于3.2mm设计要求，是产生电腐蚀的主要因素；
2、观察高频变压器线圈开路位置均有助焊剂残留，加速了电化学腐蚀；</t>
  </si>
  <si>
    <t>临时方案：
库存高频变压器在第3脚、第4脚打绝缘胶，防止外部污染及受潮。
改善计划：
1、改善初级线圈与次级线圈的电气间隙，由下沟槽走线改为上沟槽走线，间距由2.2mm改善到3.4mm，满足电气间隙要求；
2、将初级绕组0.15mm的线径改为0.20mm线径，提高可靠性；
3、在第3脚、第4脚打绝缘胶，防止外部污染及受潮。</t>
  </si>
  <si>
    <t>其他</t>
  </si>
  <si>
    <t>等故障样品寄回延期5天结案；
品质回复整改措施。</t>
  </si>
  <si>
    <t>阿根廷</t>
  </si>
  <si>
    <t>7</t>
  </si>
  <si>
    <t>【问题描述】阿根廷散件S客户上线生产焊接时发现该批订单的所有分流四通管（编码：92002-000083）存在裂缝，导致泄露。
【订单号】MO2510124100S
【机器型号】HY11INV-5000FCW
【订单数量】1152
【故障数量】客户反馈全部有问题 
【客户需求】目前生产该机器的产线已经停线，并且该批订单所有的分流四通管都不可用，客户提出索赔，同时要计算停线导致的费用。</t>
  </si>
  <si>
    <t>供应商金翔补料152个分流四通管寄出给客户</t>
  </si>
  <si>
    <t>1.直接原因是供应商分歧模具维修后两个管口中间宽造成产品有拉伸，且菱角圆弧过渡不够明显，部分产品拉伸严重造成裂漏；
2.包装全检人员剖检只做了首件，未进行巡检，检验频次低，同时未按照规定的手拿件数去操作检验导致不良未发现流出。</t>
  </si>
  <si>
    <t xml:space="preserve">1.供应商重新梳理模具维修验收流程，杜绝出现维修模具降面的现象再次发生，品质部对成品剖检并进行记录，确保无压伤、无尖角后方可加工，并且不定期抽查执行情况；
2.供应商包装工序每小时剖检1次并记录到过程检验记录内，按照要求对分歧位置内部认真全检，确保100%合格；
3.分流四通管裂问题做为典型案例，对IQC管路组全员进行质量培训，提高检验水平。
</t>
  </si>
  <si>
    <t>供应商金翔</t>
  </si>
  <si>
    <t>3</t>
  </si>
  <si>
    <t>【客诉描述】印尼ARISTON客户投诉，生产时发现室外机室外电器安装板上少打地线螺钉，给客户造成效率与返工影响
【订单号】MO2512131387S
【机型】KIOS 9R32 MD1-O
【销售数量】660套
【故障数量】全部
【不良率】100%
【客户需求】客户要求立即分析根因并采取改善措施，杜绝再次发生类似问题</t>
  </si>
  <si>
    <t>客户要求立即分析根因并采取改善措施，杜绝再次发生类似问题</t>
  </si>
  <si>
    <r>
      <rPr>
        <sz val="9"/>
        <color indexed="8"/>
        <rFont val="微软雅黑"/>
        <charset val="134"/>
      </rPr>
      <t xml:space="preserve">1、本次确认是按照BOM明细生产的，没有异常
</t>
    </r>
    <r>
      <rPr>
        <sz val="9"/>
        <color indexed="8"/>
        <rFont val="微软雅黑"/>
        <charset val="134"/>
      </rPr>
      <t>2、客户端认为之前是装在机子上，地线螺钉单独打包，业务未及时跟客户拉通到位</t>
    </r>
  </si>
  <si>
    <r>
      <rPr>
        <sz val="9"/>
        <color indexed="8"/>
        <rFont val="微软雅黑"/>
        <charset val="134"/>
      </rPr>
      <t>1、</t>
    </r>
    <r>
      <rPr>
        <sz val="9"/>
        <color indexed="8"/>
        <rFont val="微软雅黑"/>
        <charset val="134"/>
      </rPr>
      <t>按照订单B</t>
    </r>
    <r>
      <rPr>
        <sz val="9"/>
        <color indexed="8"/>
        <rFont val="微软雅黑"/>
        <charset val="134"/>
      </rPr>
      <t>OM实施，该螺钉另外单独打包
2、业务跟客户解释原因以及后续我司打包标准实施</t>
    </r>
  </si>
  <si>
    <t>其它</t>
  </si>
  <si>
    <t>【客诉描述】波兰R客户反馈MO241195092 TM35X1  R16前盖板模具纹影响外观，麻烦跟进处理。
【订单号】MO241195092
【机型】TM35X1  R16
【故障数量】全部
【不良率】100%
【客户需求】客户要求分析根因并改善措施</t>
  </si>
  <si>
    <t>要求分析根因并改善</t>
  </si>
  <si>
    <t>注塑的黑色前盖板因为背面活动膜分型面模印直接放映到前面效果，在灯光下会出现模印。</t>
  </si>
  <si>
    <t>1.经分析技术角度无法避免，无法在注塑和技术角度上进行优化。
2. 增加注塑后进行喷涂的工艺，对于不能接受注塑效果的客户可选择喷涂方案</t>
  </si>
  <si>
    <t>波多黎各</t>
  </si>
  <si>
    <t>【问题描述】美国A客户反馈卖波多黎各市场的R32变频单冷12K室外机冷凝器加强管处泄漏，客户反馈均是使用一段时间后泄漏，截止目前故障数量200+台。
【型号】内机ADSEM7C4E12/外机ADSCI7C4E12 770X+660C
【参考订单号】MO2502106347F
【订单数量】累计出货量2955套
【不良数量】200~250台（业务跟客户开会时反馈，具体待客户返回维修记录）
【客户诉求】分析失效原因，提供8D报告。</t>
  </si>
  <si>
    <t>按现有企业标准测试随机振动机器均无异常，模拟恶劣运输条件，在MIL-STD-810F标准下水平方向加严1倍测试后加强管位置开裂，此复现结果与客户反馈情况相似。
1.该原型机及参考机型累计出货73920台销往全球各地（波多黎各、圭亚那、哥伦比亚等），仅在波多黎各反馈有加强管裂漏（泄漏不良率5.3%），该机型综合泄漏不良率0.32%，本次加强管泄漏问题和地区特性相关。
2.根据客户反馈的视频及图片，加强管失效位置无焊接过烧、腐蚀等情况，与焊接生产及环境腐蚀无关。
3.结合复现结果及售后数据，对其它友商品牌在波多黎各管路泄漏情况进行查询分析，各品牌在 2018 至 2024 年间出口波多黎各的空调外机，因超长海运、风浪、野蛮装卸及固定不足等纯运输因素，导致管路裂漏不良率高达 3.8% 至 16.4%。
结论：结合售后数据、当地其它品牌情况，本单加强管泄漏不良主要由恶劣运输因素等导致。</t>
  </si>
  <si>
    <t xml:space="preserve">1 调整加强管焊接位置，并增加入口管管夹防护,提高管路抗恶劣运输能力
2 优化新产品任务书填写流程，增加物流运输环境需求、用户使用习惯、特殊销售地区需求等，并设置为必填项。
</t>
  </si>
  <si>
    <t>设计优化</t>
  </si>
  <si>
    <t>【客诉描述】沙特散件C客户反馈24K室外机接线端子破裂，室外机半散发出，接线端子为我司组装到机器上出货，客户端已完成生产1186台发现104台。
【订单号】MO2504111890SF/MO2504109909S
【机型】挂机外机 DT24E7YH3XTS00 散件 (订单 ) 845C Φ7×2 
【订单数量】1186套
【不良数量】104台
【客户需求】要求分析改善并提供解决方案。</t>
  </si>
  <si>
    <t>组织调查并已快递200个接线端子。</t>
  </si>
  <si>
    <t>员工打螺钉过程中，未将腰孔靠左垂直打螺钉，导致右上螺钉向右移位（端子孔为腰圆孔，有冗余移位），在打左下孔时螺钉，螺钉孔偏位，以及安装板变形，组装完成后端子受横向拉力，后经过运输振动导致进一步应力集中拉裂。</t>
  </si>
  <si>
    <t xml:space="preserve">1 、增加不良案例质量履历卡：对接线端子打螺钉SOP增加预装要求，需右上孔左移垂直打入，保证左下孔不受横向拉力，并组织电控班全体宣贯。并纳入上岗培训项。
2 、对标同行及厂家调整电控班接线端子螺钉扭力标准。
3 、验证氨基材料切换PBT可行性，厂家送样，工艺品质验证材料性能。
</t>
  </si>
  <si>
    <t>中国珠海</t>
  </si>
  <si>
    <t>【客诉描述】 AHU慕羽客户反馈收到货没有商标卡扣（logo支撑架）。
【订单号】MO2511125502
【工单】3200229622、3200229625
【订单数量】30套
【生产时间】2026.1.30
【生产班组】W3
【不良数量】整个订单
【客户诉求】分析失效原因，提供8D报告，避免后期重复发生。</t>
  </si>
  <si>
    <t>分析失效原因，提供8D报告，避免后期重复发生。</t>
  </si>
  <si>
    <t>已快递60个商标卡扣</t>
  </si>
  <si>
    <t>本次客诉问题系产线员工装配时漏放LOG0支撑架，巡检在首检环节未有效核查，OQC 抽检亦未予拦截，导致问题产品流出至客户端。三道防线均未发挥应有的管控作用，是本次问题发生的根本原因。</t>
  </si>
  <si>
    <t>1.针对产线员工漏放问题:对涉诉工单相关产线员工进行专项培训及考核，合格后方可继续上岗;
2.PQE检验环节:将LOGO 支撑架装配情况列入首检必检项，修订首检核查清单，明确要求拍照存档作为首检合格证据
3.针对 OQC未检出问题:
①优化OQC检验流程与项目，将LOGO 支撑架等之类的小型选配物料核查列为必检项，抽检时须单独拿出或与整机拍照一起拍照记录存档;②本批次同类订单生产期间，OQC对LOGO 支撑架之类的小型选配物料项实施加严抽检，连续3批次按要求正常检出，无漏检后恢复正常抽检比例;③对 OQC人员进行检验标准宣贯培训，强化小件物料的漏装风险意识；
4.经验总结与培训:将此次问题当做典型案例，组织生产、品质等相关部门进行复盘检讨，分析问题产生的各环节漏洞，同时开展针对性培训，提升员工对类似问题的重视程度及操作技能，提高产品质量保障。</t>
  </si>
  <si>
    <t>何伟强</t>
  </si>
  <si>
    <t>巴林</t>
  </si>
  <si>
    <t>【问题描述】夏普客户反馈巴林订单窗机卸柜发现一台18K包装破损且机器损坏和两台24K包装破损，客户认为不是运输造成，是把损坏的机器发出。
【柜号】ESDU6062737,ESDU6043300
【机型】AF-A18ATM，AF-A24ATM
【故障数量】1台18K机器损坏和2台24K包装破损
【客户诉求】客户要求分析原因，补发破损包装和索赔损坏机器。</t>
  </si>
  <si>
    <t>补料破损纸箱和索赔损坏机器</t>
  </si>
  <si>
    <t>补料三个破损纸箱</t>
  </si>
  <si>
    <t>按客户信息返查装柜视频，未见明显包装破损和装卸导致损坏情况，但客户开柜收到货为破损状态，品质沟通仓库进行补料和索赔费用转嫁处理。</t>
  </si>
  <si>
    <t>包装破损</t>
  </si>
  <si>
    <t>马来西亚</t>
  </si>
  <si>
    <t>【问题描述】马来西亚C客户反馈挂机内机缺少遥控器，经核查生产记录发现有两台机器缺失遥控器扫码记录
【订单号】MO2511127390
【不良条码】140201BDW4N3225CD072645、140201BDW4N3225CD072946
【订单数量】17500
【不良数量】2
【不良率】0.01%
【客户诉求】查明原因并给客户补料</t>
  </si>
  <si>
    <t>查明原因并给客户补料</t>
  </si>
  <si>
    <t>武汉工厂给客户快递补料20个遥控器</t>
  </si>
  <si>
    <t>1、客诉两台条码均为12月15日上线，尾数72946机器外观扫完后下线，尾数72645机器性能扫完后下线，两台机共经历过6次埋拉解绑流程，第7次埋拉绑定时已发货；
2、线体整机下线时若前面工序有漏扫情况则会停线报警，查询埋拉开箱报表无该机器埋拉开箱记录，判定这两台机为班组私自线下打包入库导致流出</t>
  </si>
  <si>
    <t>1、完善MES系统功能（技术防错）：
a、对标内销： 参考内销MES系统的成功模式，为外销机型增加关键件（特别是遥控器）扫码强制联动功能。     刘磊    4/1
b、上线冻结功能： 在MES系统中开发并启用“未扫码即冻结”功能。当关键件未扫描或扫描失败时，系统自动拦截该工单，禁止其流向下一工序或入库。----刘磊    4/1
2、规范作业流程（管理强化）：
a、操作标准化： 更新SOP（标准作业指导书），明确外销机关键件扫码是必经步骤。       刘磊    3/25
b、员工培训： 对该班组（N1线）及所有涉及外销生产的员工进行再培训，强调扫码的重要性及新系统上线后的操作变化。     刘磊    立即执行</t>
  </si>
  <si>
    <t>武汉工厂</t>
  </si>
  <si>
    <t>错漏发</t>
  </si>
  <si>
    <t>已出具考核通报</t>
  </si>
  <si>
    <t>【问题描述】澳大利亚D品牌客户反馈ISR-26Q-OUT 机型阀芯泄漏，目前15套机器三通阀出现阀芯泄漏问题，请跟进处理。  
【订单号】MO2510124009
【机器型号】ISR-26Q-OUT
【订单数量】166
【故障数量】15 
【客户需求】提供处理方案</t>
  </si>
  <si>
    <t>生产过程中收氟时操作不当，内六角没有垂直拿出，在密封圈处掰住导致阀芯密封圈处破裂。</t>
  </si>
  <si>
    <t xml:space="preserve">规范操作，员工采用双手持握收氟枪，垂直插入阀芯凹槽，在工具完全嵌入的状态下施加额定扭矩，达到设定应力值后收氟枪自动停转，再由员工垂直拔出工具
</t>
  </si>
  <si>
    <r>
      <rPr>
        <sz val="9"/>
        <rFont val="微软雅黑"/>
        <charset val="134"/>
      </rPr>
      <t>5月</t>
    </r>
    <r>
      <rPr>
        <sz val="9"/>
        <rFont val="微软雅黑"/>
        <charset val="134"/>
      </rPr>
      <t>12日业务带回泄漏阀样件重启</t>
    </r>
  </si>
  <si>
    <t>【问题描述】北美K客户反馈收到的36K室外机批量性无连接管。
【订单号】MO2509122804，110台（还有一个MO2509122442，10台）
【型号】KOIE36H2-31X
【不良条码】140202B7NPW1825CT000103/0086等
【订单数量】120
【客户诉求】客户查明原因并提供解决方案。</t>
  </si>
  <si>
    <t>客户查明原因并提供解决方案。</t>
  </si>
  <si>
    <t>1、已给客户补料，并通过快递寄出；</t>
  </si>
  <si>
    <t xml:space="preserve">1、 产生原因：返包时拆下纸箱、泡沫、连接附件、连接管等，在二楼更换B品牌标贴件及纸箱物料，连接管放在拆下纸箱里未同步拿至2楼，后因W15商检条件不满足转换至W3商检，导致连接管遗漏至W15；
2、 拦截失效原因：班组、巡检对返包工单不熟悉，未识别出连接管为必配物料，物料遗漏未发现，OQC对A返B订单进行抽检确认时，根据工艺返包通知单确认未识别出漏装连接管，此单按照A返A流程拍照上传黑底照片，全流程失效导致不良流出。
</t>
  </si>
  <si>
    <t xml:space="preserve">1 工艺编制返包单时需在订单打包工序中明确附件类（室内外连接管、附件包、铜螺母等）装配种类及要求，指导生产物料点检。
2 针对过程拦截失效单位及责任人落实考核处理。 李博 2026/4/10
3 针对A返B，现场必须打印原批次首检单及返包通知单指导生产，通报返包群。 
4 除原有的按工艺通知单对变更物料进行检验的要求外，OQC端从QMS系统调整，优化检验单填写与提交规范，根据订单号与型号是否变更以及工艺通知单内容识别是否为A返B检验单，检验系统调整为所有重要零部件图片作为必填项上传。
5 针对MES扫码返包漏洞：
A、MES扫码会对返包时扫过码的物料记录更新（如纸箱，连接管附件），而对不需要更换的关键件（连接管、压机等）的时间更新为返包扫码时间，需调整为实际扫码时间；
B、返包涉及拆箱必须对纸箱、连接管、附件等物料扫码，临时按照划线检验执行。 
</t>
  </si>
  <si>
    <t>【问题描述】巴基斯坦D客户反馈单独打包的接线端子在生产过程中出现螺钉固定位打断，没有额外备件。  
【订单号】MO2511127331S
【型号】AEROMAX INVERTER 15
【物料编码】11304-100062
【订单数量】3000
【故障数量】65
【客户需求】核查原因和快递补发物料，不影响生产。</t>
  </si>
  <si>
    <t>给客户补料，快递发出</t>
  </si>
  <si>
    <t>询问客户工厂使用螺丝刀类型和力矩大小，客户未回复，可能客户螺丝刀力矩过大，打裂端子。</t>
  </si>
  <si>
    <t>【问题描述】美国A客户反馈收到全新包装室外机存在明显维修痕迹，尽管机器当前运行正常，但从外观上可明确判断是维修过的产品。用户对此表示不满，坚决要求更换新机。
以上，请尽快安排调查，今天需要输出调查结果回复客户，谢谢！
【机型】ASQCI7H4E36
【订单号】MO2506114898S
【故障机条码】140202AYGBZS5257N000102
【不良数量】1
【客户需求】分析原因并改善。</t>
  </si>
  <si>
    <t>分析原因并改善。</t>
  </si>
  <si>
    <t>组织分析</t>
  </si>
  <si>
    <t>1.操作不当：装配或维修时可能触碰铜管或工具碰撞导致翅片破损。
2.扭矩控制不规范：气动螺丝刀未校准，可能过紧或误触翅片。
3.检查不充分：原有流程未专门、强制检查冷凝器翅片。
4.记录与闭环不足：问题标记后缺乏有效的修复控制流程。</t>
  </si>
  <si>
    <t>1.扭矩校准：对气动螺丝刀使用扭矩计进行校准。
2.全员宣导：将问题传达给所有生产和QC人员，并监控一个月。
3.增加检查：将冷凝器翅片检查正式纳入目视检验流程。
4.提升意识：加强操作人员对翅片外观的培训。
5.建立修复控制流程：翅片破损后需在QA卡标记，通知IPQC，根据是否触碰铜管决定维修或更换，由多层级确认。</t>
  </si>
  <si>
    <t>印尼工厂</t>
  </si>
  <si>
    <t>刘成</t>
  </si>
  <si>
    <t>【问题描述】沙特GS客户反馈18K玻璃面板的1080T箱体室内机，玻璃从面板上掉落。
【订单号】MO2601133115F
【机器型号】GS BO180C
【订单数量】190
【故障数量】 3+（目前已发现）
【条码号】140201B23SN25261P000173等（另外两个条形码待提供）
【客户需求】分析改善并提供处理方案。</t>
  </si>
  <si>
    <t>分析改善并提供处理方案。</t>
  </si>
  <si>
    <t>经分析，客户投诉的1080T款式挂机玻璃板从面板剥离脱落，原因为：故障件面板表面虽涂有助粘剂（呈现黑色阴影），但边缘部分存在涂抹空白区域，导致对应位置的3M胶无法接触助粘剂。助粘剂主要用于活化ABS惰性面板、提升表面能，从而增强3M胶的粘结强度与耐久性；若3M胶未与助粘剂接触，其粘接能力将大幅下降。
从过程失效来看，主要原因有三：
涂抹操作偏差：工艺文件要求助粘剂距面板边缘2-5mm，但故障件实际涂抹距离远超5mm。
生产现场操作不当：该批次产品生产日期为2026年1月25日，面板带有烫银装饰条。采用线上跟线涂抹助粘剂时，员工为避免助粘剂涂到装饰条造成报废，人为挪大了涂抹距离，部分面板因挪动过度导致四周部位未能涂上助粘剂。
互检失效：玻璃与面板的装配员工未按2-5mm的距离要求进行互检，致使不良品流出。</t>
  </si>
  <si>
    <t xml:space="preserve">1 工艺更改操作方式，由线下进行面板四周边缘涂抹助粘剂后再上线，并完善SOP。 刘斌 2026/5/3
2 研发下发临时技术文件，1080T玻璃板额外增加4条3M胶带。 陈正斌 已完成
3 设备导入自动按压装置进行辅助生产。 张全党 已完成
4 每批次玻璃面板生产，巡检群监督通报工艺要求执行情况。 肖旭 长期执行
</t>
  </si>
  <si>
    <t>中山工厂</t>
  </si>
  <si>
    <t>土耳其</t>
  </si>
  <si>
    <t>【问题描述】土耳其D客户反馈AMO2512130246 DTXP25A TCL条形码号和客户标贴条形码号对不上，一个客户条形码对应2个TCL条形码，客户反馈内机和外机都存在问题，如下图。  
【订单号】AMO2512130246
【机器型号】DTXP25A
【订单数量】5750
【故障数量】目前若干，客户正在统计中 
【客户需求】提供处理方案。</t>
  </si>
  <si>
    <t>给客户提供标贴</t>
  </si>
  <si>
    <t xml:space="preserve">1）仓库未要求执行批次配送，订单不同生产批次纸箱条码号段未分区隔离管控造成混料，生产使用了后批次标贴进行生产。
2）生产和品质检验只核对了物料和序列号后3未数字，未按要求执行逐个序列号全面核对造成贴错和拦截失效；
</t>
  </si>
  <si>
    <t xml:space="preserve">1.仓库按生产批次号段进行配送，生产收料员对接时核对系列号是否正确并拍照留底。
2.首巡检增加对号核对几位要求进行划线同步写上要求对号的位数数字、并通知检验员以及操作工。
3.OQC抽检增加对号核对几位要求进行划线同步写上要求对号的位数数字、并拍照存档。
4.线上检验员按生产通知单号段进行检验
5.工艺推动扫码工序流程、比对条码号跟序列号标贴后5位数字防呆。
</t>
  </si>
  <si>
    <t>广州工厂/制程品管/仓储物流</t>
  </si>
  <si>
    <t>法国</t>
  </si>
  <si>
    <t>【问题描述】法国B客户反馈第一单就发现Baymak Elegant Air 18外机压缩机启动阶段噪音大，如下视频。  
【订单号】MO2512130970，MO2512130802
【机器型号】Baymak Elegant Air 18
【原型机编码】Z4U20101033321
【条形码】100023841012608722，100023841012609295
【订单数量】1600+1600
【故障数量】目前刚安装发现2台出现问题 
【客户需求】提供处理方案。</t>
  </si>
  <si>
    <t>派人都客户处返包</t>
  </si>
  <si>
    <t>前面板左侧和冷凝器存在间隙，在高风下存在类似吹口哨的声音</t>
  </si>
  <si>
    <t>在前面板左侧增加海绵密封</t>
  </si>
  <si>
    <t>开发</t>
  </si>
  <si>
    <t>噪音</t>
  </si>
  <si>
    <t>菲律宾</t>
  </si>
  <si>
    <t>【问题描述】LG客户反馈菲律宾窗机被货柜内固定处划伤破损，纸箱破损待确认，如下图片。  
【订单号】AMO2602137719
【型号】LA080ENT.AX3ALCP
【序列号】603CTSF03358
【订单数量】615
【故障数量】纸箱破损45台和机器破损1台
【客户需求】提供解决方案和改善措施。</t>
  </si>
  <si>
    <t>准备破损物料</t>
  </si>
  <si>
    <t>1、监装员跟仓管员对此单监装不到位，未发现柜内有锚钉；
2、搬运发现柜内有问题未上报反馈。</t>
  </si>
  <si>
    <t>1.建立搬运工、仓管员货柜共检机制，需仓管员、搬运工双签确认,发现有货柜异常暂停装柜；
2.监装员复检货柜内情况，发现异常时及时反馈上报。指定仓管员为货柜点检第一责任人，监装人员为复查责任人；
3.发布《装柜前货柜检查标准作业程序》（SOP），明确清洁、检查、记录要求。新增货柜异物凸出检查项到集装箱检查表；
4.规范仓库仓管员、搬运工作业标准，对有异常未反馈上报的违规考核；
5.搬运工装柜问题下发管理文件，鼓励搬运工及时反馈异常，对主动上报风险的人员给予奖励；
6.装柜做到每个柜都监装，及时发现问题。</t>
  </si>
  <si>
    <t>国远物流</t>
  </si>
  <si>
    <t>孟加拉</t>
  </si>
  <si>
    <t>【问题描述】孟加拉RFL客户，内机空壳机开箱150件出现5件，TPlus中框顶部明显大面积发黄，客户意见很大，如下图片。  
【订单号】MO2601133371S
【型号】VSN-24KINV-AromaCool-W
【订物料编码】41106-026459
【订单数量】400
【故障数量】5
【目前情况】等客户回复序列号标贴和中框厂家信息，SQE建群跟进</t>
  </si>
  <si>
    <t>准备中框物料</t>
  </si>
  <si>
    <t>结案信息和巴基斯坦，台湾中框发货信息相同。</t>
  </si>
  <si>
    <t>【问题描述】台湾远扬客户反馈散件订单中内机有两台缺少防电轴
【订单号】MO2601132440SF
【不良条码】140201BCWDN742626000111、140201BCWDN742626000048
【订单数量】150
【不良数量】2
【不良率】1.33%
【缺失物料】41101-000252防电轴
【客户诉求】客户希望查明不良原因并给客户快递补料防电轴</t>
  </si>
  <si>
    <t>客户希望查明不良原因并给客户快递补料防电轴</t>
  </si>
  <si>
    <t>已给客户补料防电轴，并通过快递寄出</t>
  </si>
  <si>
    <t>1、预装产品存在防电轴没有插到位以及漏装防电轴，员工装配的时候自检不到位的问题。
2、散件产品不进行商检，横向步进电机位置位于底座叶摆卡板内侧，处于视觉盲区，不可通过目测检验、缺乏检验盲区。</t>
  </si>
  <si>
    <t>1、完善空壳机步进电机防电轴漏装自护检方法：固定步进电机岗位完成操作后增加拨动叶片动作。
2、增加检验作业方法拨动叶片动作，若左右拨动时感觉有明显的机械顿挫感，说明防电轴已安装；反之感觉松动丝滑，说明防电轴漏装。</t>
  </si>
  <si>
    <t>程梓杨</t>
  </si>
  <si>
    <t>【问题描述】台湾禾联客户反馈新到货的两批订单共339台机器中框没有覆膜的地方全都有长条的明显划痕。客户觉得这些划痕严重影响生产出货，需要我们准备339个中框补料供客户生产更换，并分析原因提供8D改善报告
【订单号】MO2601133638SF（226台）、MO2601134895SF（113台）
【条码】140201BDHBN752632000065，其他更多见附件图片
【不良情况】见附件图片
【订单数量】226+113台
【不良数量】339台
【不良率】100%
【客户诉求】客户要求随大货补料339个中框，并提供8D报告</t>
  </si>
  <si>
    <t>客户要求随大货补料339个中框，并提供8D报告</t>
  </si>
  <si>
    <t>已给客户准备补料的中框，并跟随大货发出；</t>
  </si>
  <si>
    <t>工序端：当前工厂生产模式、拆包撕掉中框膜、过程会经过一段30米的空中线、存在划痕隐患。
设备端：空中线为保障中框摆放校正、线体安装的导向没有进行防护、1460箱体宽长每个都会经过导向校正、结合工序端现象引起了批量性划痕。
检验端：划痕面为背光面、检验过程员工光折射目视的时候不易发现、导致了检验失效</t>
  </si>
  <si>
    <t>1、来料包装保护膜改进工序到产线进行撕膜、且保留A面防护膜、撕开一角贴完标贴后在粘贴回去。
2、空中线导向立即组织机修对导向板使用植绒布进行包裹防护、同步排查所有线体导向进行防护。
3、增加强光手电、中框A面检验环节、检验员聚光检验。</t>
  </si>
  <si>
    <t>内机总装课/制程质量管理组/智能制造装备部</t>
  </si>
  <si>
    <t>泰国</t>
  </si>
  <si>
    <t>【问题描述】泰国U客户反馈生产过程中发现累积有20台外机漏装阀护盖
【订单号】MO2601134908S
【机型信息】RC12-TB-BT
【订单数量】620
【不良数量】20
【不良率】3.22%
【客户诉求】查明原因并提供改善措施，给客户补料阀护盖</t>
  </si>
  <si>
    <t>查明原因并提供改善措施，给客户补料阀护盖</t>
  </si>
  <si>
    <t>已给客户补料阀护盖，并通过快递寄出</t>
  </si>
  <si>
    <t>1、仓储物流部阀板混料，线上识别问题后，问题机器不扫外观检验合格码在线尾打包下地等待返包:
2、生产违规盗用外观检验合格码，私自返包，未通知品质人员。反包时未排查到位，导致用错阀板，漏装阀护盖机器流出。</t>
  </si>
  <si>
    <t>(1)修改检验点账号密码，收归到工程师统一管理，避免账号盗用。异常下地机器巡检全部冻结，避免问题流出</t>
  </si>
  <si>
    <t>广州工厂/仓储物流部</t>
  </si>
  <si>
    <t>拉美</t>
  </si>
  <si>
    <t>萨尔瓦多</t>
  </si>
  <si>
    <t>【问题描述】拉美萨尔瓦多客户反馈660C箱体加强管泄漏的客诉。机器是去年九月份到港，都是安装使用了两个月左右出现的泄漏。
【订单号】MO2506115861
【订单机型】Z4U20101090205
【不良条码】140202B0DSW11257E000092、140202B0DSW11257E000038、140202B0DSW11257E000119
【订单数量】150
【不良数量】7
【不良率】4.67%
【客户诉求】分析原因并提供改善措施，后续可能会涉及到费用索赔</t>
  </si>
  <si>
    <t>分析原因并提供改善措施</t>
  </si>
  <si>
    <t>1、品牌客户二月份反馈过相同的问题，借用8D报告已结案；
2、研发已优化管路结构并走量产更改</t>
  </si>
  <si>
    <t>1、机器的管路在经过较长时间的海运、集装箱多层堆叠挤压以及较恶劣的运输过程之后，管路受应力过大会导致变形或出现隐性裂纹，导致使用一段时间后就会出现加强管裂漏。厂内针对该问题对管路做加严振动测试也复现了加强管裂漏的问题</t>
  </si>
  <si>
    <t>1、调整加强管焊接位置，并增加入口管管夹防护,提高管路抗恶劣运输能力</t>
  </si>
  <si>
    <t>借用品牌客户8D报告结案</t>
  </si>
  <si>
    <t>【问题描述】台湾acerpure台湾首单反馈纸箱破损问题。客户要求分析原因并提供改善措施，希望后续能增加货柜覆膜，并给客户补料纸箱
【订单号】MO2601133858
【订单数量】875（全机型）
【不良数量】414（全机型纸箱，详见客户统计不良数量汇总表）
【不良率】47.3%
【不良图片】如图所示
【客户诉求】分析原因并提供整改措施，并给客户补料纸箱</t>
  </si>
  <si>
    <t>分析原因并提供整改措施，并给客户补料纸箱</t>
  </si>
  <si>
    <t>给客户补料纸箱</t>
  </si>
  <si>
    <t>1、货柜内壁没有覆膜，导致机器在运输的过程中会有磨损</t>
  </si>
  <si>
    <t>1、同步三星客户装柜要求，货柜内部增加覆膜</t>
  </si>
  <si>
    <t>【问题描述】菲律宾Acerpure客户反馈收到货拆柜发现窗机包装箱破损。客户需要我们提供装柜图片和出货前货物的图片，并分析破损原因以及提供改善措施
【单号】MO2602136767F
【订单数量】WAC525-20W（432套）+WAC525-30W（432套）
【不良数量】WAC525-20W（18套）+WAC525-30W（21套）
【不良率】4.51%
【不良图片】详见附表
【不良条码】待客户提供
【客户诉求】客户需要我们提供装柜图片和出货前货物的图片，并分析破损原因以及提供改善措施</t>
  </si>
  <si>
    <t>客户需要我们提供装柜图片和出货前货物的图片，并分析破损原因以及提供改善措施</t>
  </si>
  <si>
    <t>1、目前现有的装柜方案存在问题：如图所示，机器打板完后，木托的面积比机器包装完之后的面积要大（如图所示），装柜后有悬空， 机器移位导致悬空， 长时间就会压坏包装堆码方式不合理，整版在货柜里面会有左右、前后晃动，底部容易爆边。</t>
  </si>
  <si>
    <t>1、装柜时候如果板间有空隙，增加气泡袋填充；
2、业务与客户沟通后续订单出货新增纸护角板，薄膜从下往上缠绕</t>
  </si>
  <si>
    <t>西亚</t>
  </si>
  <si>
    <t>定频整机</t>
  </si>
  <si>
    <t>【问题描述】西亚客户反馈收到一台商标与条形码是zaneti品牌 ,,铭牌是wirbel品牌,详见客户提供的照片和视频。
铭牌和条形码是zaneti品牌的ZTRWMF-24CR3AEAWM，铭牌是WTRWMF-18HR2APAWM
从接线端子来看，机器应该是zaneti品牌的ZTRWMF-24CR3AEAWM，属于铭牌贴错。
【订单号】MO241299653
【涉及机型】ZTRWMF-24CR3AEAWM
【订单数量】1120
【不良数量】目前反馈1台
【不良率】100%
【条码】140202AG1FW14251R000443
【客户诉求】原因分析并改善。</t>
  </si>
  <si>
    <t>原因分析并改善。</t>
  </si>
  <si>
    <t>经追溯与排查，客户反馈的两台问题机器均非埋拉机或返修机，MES条码采集记录显示为一次性过线；同时OQC常规抽检4台未发现铭牌贴错，故可排除批量性铭牌错贴风险。
生产环节失效原因：
核实排产及MES记录发现，错误贴上的铭牌属于上一生产批次的机型（WTRWMF-18HR2APAWM，批次号3200195119，共1062台，于2025-01-25 16:01:36至2025-01-26 05:21:48完成生产）。客诉机型为ZTRWMF-24CR3AEAWM（批次号3200195085，共1120台），其中问题机器尾号443于当日5:49上线、6:58下线，外观检查时间为6:55。此时上一批次18K机器已全部下线，但其部分主铭牌仍遗留在现场。由于两款铭牌外观尺寸完全一致（材质均为哑银箔覆光塑），转批次时未执行现场余料清退，员工未核对型号即直接使用，导致铭牌混用。
检验环节失效原因：
① 检验扫码记录显示，两台不良品均为一次性过线，无不良记录，检验员未能检出问题；
② 因铭牌外观尺寸相同，且每台机器外观检验时间仅约7秒，无法做到逐台核实铭牌型号是否混用；
③ 针对线边物料未清退的问题，巡检人员未能有效监督和管理，存在管控缺位。
综合结论：本次问题的直接原因是转批次时未清退上一批次遗留铭牌，员工未核对型号导致错贴；间接原因是检验员受限于检验时间与铭牌相似性难以检出，以及巡检对线边物料清退监督不力。</t>
  </si>
  <si>
    <t xml:space="preserve">1、班组落实转批次使用双框要求，转批次时多余物料放埋拉框，非埋拉物料清退，埋拉标贴件放标贴柜存放，巡检监督通报双胶框使用情况，违规考核。-----责任人：陈欣/刘遇生，持续执行 
    2、针对标贴件管理失效问题，中山一厂已推行标贴件电子柜进行批次隔离管理，同时已要求三组转批次时由组长收集上批次多余标贴件隔离放置后，再转下批次生产。----责任人：刘见东  完成时间：已完成
</t>
  </si>
  <si>
    <t>以色列</t>
  </si>
  <si>
    <t>【问题描述】以色列F客户反馈我们的机器在缺氟状态下没有保护功能导致压缩机损坏19台，我们的缺氟保护客户放氟验证也没有出现。  
【订单号】MO2412100000其他的见附件表格
【机器型号】PRO INVERTER-44 WIFI，COMFORT-18 INVERTER等
【条形码】140201AGWSN212536000106等
【故障数量】19
【客户需求】完善缺氟保护功能。</t>
  </si>
  <si>
    <t>未结案</t>
  </si>
  <si>
    <t>阿联酋</t>
  </si>
  <si>
    <t>10</t>
  </si>
  <si>
    <t>【问题描述】阿联酋B客户反馈定频36K室外直流风机故障率高：某项目安装300套，使用几个月后反馈已损坏30+台，从客户提供的照片来看，控制板上积满灰尘，详见客户提供的照片。
【订单号】MO2412100224
【涉及机型】HW36CXYFB3-01
【原型机】Z4U20101035864 KT3F-80GW/YXA(E)(035864) 1460A+910C 36K 11 定频 单冷 R410A
【订单数量】267
【不良数量】30+
【条码】HW36CXYFB3O-01T012500148(与我司后五位流水号一一对应)等
【客户诉求】担心过几个月后又会积尘损坏，要求我司分析原因改善并提供处理方案。</t>
  </si>
  <si>
    <t>给出防尘方案和改善控制板工艺</t>
  </si>
  <si>
    <t>给客户下50块改成UV涂层的室外电机驱动板（32001-000403 ）</t>
  </si>
  <si>
    <t>根本原因是中隔板与前面板间隙大，以及右侧板与端板间有孔，使用环境灰尘、温湿度严酷，从这两处位置进入外机内部导致主板短路。</t>
  </si>
  <si>
    <t>短期措施：在间隙大位置贴海绵。
长期措施：
1、更改右侧板模具；
2、由当前常规三防漆改UV胶，表面涂覆可以由20um提升到50um；</t>
  </si>
  <si>
    <t>研发中心</t>
  </si>
  <si>
    <t>北美Z客户反馈收到1台24K室外机贴着K客户09K的铭牌，
基础调查如下：
客户正确铭牌型号：MAJESTIC-24K220V-S2      780C箱体    R32
客户收到错误铭牌型号：KOIQ09H1-45T            728C箱体    R454B
从箱体大小来看，初步判断属于铭牌贴错的可能性比较大，请协助调查确认及做风险数量排查，今天输出调查结果，谢谢！
【问题描述】北美Z客户反馈收到1台24K室外机贴着K客户09K的铭牌，详见客户提供的照片。
,【订单号】MO2603138139
【涉及机型】MAJESTIC-24K220V-S2
【订单数量】150
【不良数量】目前反馈1台
【条码】140202BX65W1D263R000031
【客户诉求】原因分析并改善。</t>
  </si>
  <si>
    <t>原因分析并改善，并提供风险条形码以便排查。</t>
  </si>
  <si>
    <t>给客户50张铭牌标贴。</t>
  </si>
  <si>
    <t>中山工厂工艺、生产、品质三方联合调查分析如下：
过程追溯
核实MES记录确认：客户反馈的问题机器既非埋拉机，也非返修机，条码采集记录均为一次性过线。
OQC常规抽检2台，均未发现铭牌贴错，可排除批量性铭牌错贴风险。
生产环节失效原因
客户反馈的错误铭牌属于上一批次（W15当线）机器所用，机型为KOIQ09H1-45T，批次号003200235581，批量75台，于2026-03-25 18:45:41至19:20:39完成安检工序（铭牌粘贴位于安检前）。
客诉机型为MAJESTIC-24K220V-S2，批次号003200239111，批量150台。问题机器尾号031于当日19:54:07过安检，21:02:21整机下线，外观检查时间为20:57:28。
生产过程中，上一批次（09K）机器已全部下线。两款铭牌外观尺寸相似（宽度相同均为55mm，长度相差20mm），材质相同（哑银箔覆光）。白班使用完上批次物料后未进行清退，晚班接班时员工未仔细核对，导致上批次遗留铭牌混入使用。
经核实，上批次物料无补料记录，该批次主铭牌通常按多于本批次2~5件备损，因此可确认风险数量≤5件。
综合结论
本次问题的直接原因是：未按转批次物料清退要求执行，导致上一批次遗留铭牌混入下一批次使用。员工接班时未仔细核对铭牌型号，加之两款铭牌尺寸相近、材质相同，难以快速区分。整体属于班组管理疏漏，非批量性质量事故。</t>
  </si>
  <si>
    <t xml:space="preserve">1 班组转批清退上批次印刷件物料，巡检首检每批次通报执行情况，未按要求执行停线处理。 陈欣/刘遇生 持续执行
2 针对标贴件管理失效问题，中山一厂已推行标贴件电子柜进行批次隔离管理，同时已要求三组转批次时由组长收集上批次多余标贴件隔离放置。 刘见东 已完成
</t>
  </si>
  <si>
    <t xml:space="preserve">【问题描述】北美F客户反馈收到多个装窗机的货柜出现开柜倒货的现象，因倒柜涉及到人身安全，要求我司分析原因并改善，详见客户提供的照片。
,【发货单号】SSWH20260206122361/SSWH20260209122538    SSWH20260114119795
【倒柜柜号】EMCU8507540/TLLU7754077/GAOU6988706\EMCU8473711
【客户诉求】原因分析并改善。
</t>
  </si>
  <si>
    <t>1、货柜尾部位置还有空隙，没有用充气袋填充；
2、拼柜的机器箱体大小存在差异，装柜的过程中，内部存在空隙；
3、部分机器装柜的时候方向不统一，与要求不一致。</t>
  </si>
  <si>
    <t>1、修订ARISA装柜作业文件，对于货柜后有间隙超过20㎝的现象，必须用充气袋填充；
2、针对一柜一个机型的场景，重新核对前期装柜经验值的准确性，尽量做到满柜装柜；
3、针对一柜多个机型的场景，要输出具体的拼装柜方案指导ARISA装柜；
4、针对不满足MOQ的订单，协商按最小MOQ下单；
5、针对F客户装柜，组织ARISA输出专项装柜作业文件。</t>
  </si>
  <si>
    <t>【问题描述】巴基斯坦PEL客户反馈内机空壳机开箱700件出现20件，TPlus中框侧面明显发黄，如下图片。  
【订单号】MO2512129448S
【型号】ELSAC-18K LUX AIR W T3 INV
【订物料编码】41106-026459
【订单数量】1250
【故障数量】20</t>
  </si>
  <si>
    <t>准备正常中框</t>
  </si>
  <si>
    <t>1、不良品分析：根据客户退回来的不良样品进行实验复现，发现在做48h氙灯+双85实验可以将发黄复现。单独进行太阳暴晒无法复现，且已经发黄的样品进行暴晒出现返白现象。
2、过程排查：对来料检验、生产检验、成品检验拦截调查，均可以对该发黄问题进行拦截，对来料仓库和成品仓库进行排查，无暴晒淋雨风险，可以排查物料在TCL生产过程中发黄的可能。同时向前排查厂家来料包装方式，厂家工装车有布覆盖，无暴晒风险。
3、供应商端调查：
3.1色母使用排查：对供方仓库，发现其库存存在同展厂家，非我产品使用规格；
3.2色母进行抽样测试：对同类色号各厂家色母（同展、亮彩/天日）进行打样色板和中框成品打样测试，其中同展厂家在测试实验中数值变化很大，实验96h色差值都超过8以上，出现发黄，详见下表；
3.3、色母厂家购买记录对比：黄科提供的色母购买记录为佛山天日及中山大亮彩，同步调取色母厂家购买记录，与事实不符：
4、调查总结：
（1）现场调查：
① 印尼工厂和孟加拉RFL客户、巴基斯坦P客户、台湾Q客户反馈中框发黄供方均为黄科；
②黄科色母仓库有同展的SW23、SW02的色母，为非TCL供应商；
③黄科成品仓，发现黄科仓库中框库存有窗边太阳暴晒的情况。
（2）排查+实验结论：该发黄可能是黄科混用其他品牌色母+黄科仓库存在暴晒区域，部分产品存在风险导致产品发黄；爆晒在经过高湿环境下会存在发黄；
5、市场风险评估：黄科1100U中框25年05月注塑生产29365PCS，因客户订单取消，25年7月黄科发现联络函给供应链申请在库2.9万套消耗，并提出长时间（6个月以上）放置会存在挤压变形、变色等质量问题风险，初步确认2.9W呆滞品，在仓库存储时，存在部分产品被光照，后面经历潮湿环境导致发黄。</t>
  </si>
  <si>
    <t>1.对该问题定义为重大质量事故，对黄科供应商所有外观件提交暂停申请；
2.对黄科所有发黄客户投诉按《质量保证协议》落实考核处理；
3.修订企标，将色母指定纳入要求（前期以技术文件流转）；
4.修订测试标准：后续型式试验按氙灯24小时+双八五；
5.供应链接收到呆滞产品联络函必须提交品质评估，超期＞6个月，原则上报废处理。</t>
  </si>
  <si>
    <t>供应商黄科/品质管理部/广州质量管理部</t>
  </si>
  <si>
    <t>【问题描述】巴基斯坦PEL客户反馈订单物料异常，防振胶全部开裂异常，以及 PCB、风扇、纸箱、两器损坏问题，其中防振胶问题二次出现异常，之前去年是供应商邦达，本次是供应商顺来，如下。  。  
【订单号】SSWH20260224123098、MO2601134181SF
【型号】PINVO-18K JUMBO DC PRIME T3+ WIFI
【订单数量】3400
【物料明细】
防振胶异常全部3400个，92012-000028</t>
  </si>
  <si>
    <t>空运防振胶给客户</t>
  </si>
  <si>
    <t>1. 风险半成品未被拦截：设备维修后产生的异常批次母胶（965kg），操作员工未识别风险，直接将风险半成品投入捏合、成型等后续工序。
2. 品质抽检未有效拦截：此批次产品出货前品质抽检未能检出不良品批次。
3. 抽检项目存在盲区：日常成品抽检仅做针入度等快速检测项目，高温老化实验周期长达七天，无法在日常抽检中覆盖长期耐久性指标，导致性能缺陷未能在出货前发现。</t>
  </si>
  <si>
    <t>供应商：
1.建立关键设备维修后强制检验制度：密炼机等关键设备维修后，首炉胶料须取样进行全项物理性能检验（含高温老化），检验合格后方可投入量产。
2.关键工序人员资质管控：密炼机等关键设备维修后的复产操作须由熟练工执行，临时工/新员工不得独立操作关键设备维修后的复产。
3.建立密炼机易损件预防性维护台账：对密封环等关键易损件按运行时间设定更换周期，到期强制更换，杜绝超期使用。
4.异常品标识与隔离制度：设备维修期间及复产首炉胶料、半成品须标识隔离，经全项检验合格后方可放行流入下工序。
5.修订品质检验标准：日常成品抽检增加快速检验项目作辅助判定（采用快速老化等效方法缩短周期），增加母胶配比抽检频次，消除抽检盲区。
6.品质巡检介入设备异常维修过程：设备异常维修时，品质巡检人员须到场监控、记录异常处理过程并形成追溯档案
SQE：
SQE以月度为周期，定期到供应商现场稽查，确保以上措施落实并长期执行。
IQC：
IQC检验来料时，每批次防震胶都必须对粘（拍照留样），并统一编码抽样2PCS（保持日期一致）给实验室，实验室接收到IQC提供的样品后，马上执行100°C 72H实验、80°C 48H实验，常态放凉后反折测试，并拍照附图记录</t>
  </si>
  <si>
    <t>供应商顺来/质量管理部-供应链质量管理组</t>
  </si>
  <si>
    <t>【问题描述】菲律宾F客户反馈WAR-632IGT2机型的包装箱上同时出现WAR-632IGT2和WAM-632IGT2两个型号，目前客户反馈WAR-632IGT2一万套全都有这个问题，客户需要我们提供分析原因和改善措施的8D报告，以及补料正确纸箱
【订单号】MO2603139514F
【订单机型】WAR-632IGT2
【订单数量】10030
【不良数量】10030
【不良比例】100%
【不良条码】140206BQ67Z102649007498（客户还在收集更多条码）
【客户诉求】提供分析原因和改善措施的8D报告，以及补料正确纸箱</t>
  </si>
  <si>
    <t>提供分析原因和改善措施的8D报告，以及补料正确纸箱</t>
  </si>
  <si>
    <t>1、给客户补料20060个型号标贴，已快递寄出
2、给客户补料400个纸箱</t>
  </si>
  <si>
    <t>1、供应商胶版管控失效，首检检验操作漏洞
2、IQC检验员未逐字核对内容，检验执行力不足
3、巡检值核对了一面，未按照要求进行全部核对
4、成品首检核对只核对了其中一侧，未按要求执行同一台产品不同位置型号信息保持一致的检查。</t>
  </si>
  <si>
    <t>供应商：
①胶版异常，一律停机生产，不允许私自找柔板替代生产，直到重新制作柔板后且须部门领导确认后才能批量生产；
②完善印刷机作业指导书SOP及检验指导书SIP；
③供应商旧胶版进行报废处理；
换版首检需全部内容重新检验
部品质量部：
①针对同系列相似产品的差异点进行专项培训，甄别不同点，收集不良案例，全体检验员进行识别并考试；
专项群每日监控打点划线执行情况，AB面不一致的物料需双面进行留样。
检测中心：
①OQC增加对包装纸箱印四个面刷内容进行检查确认，确认印刷件一致性，并拍照上传系统。
制程品管部：
①首检环节增加对包装纸箱印四个面刷内容进行检查确认，确认印刷件一致性，并拍照上传系统。
开发印刷件AI检验智能体，辅助员工进行检验，避免因为人员技能不足或者检验不够细心导致的漏检问题。</t>
  </si>
  <si>
    <t>品质管理部/部品质量部/制程管理部/检测中心</t>
  </si>
  <si>
    <t>【问题描述】台湾奇美客户反馈RC-S36HA1外机漏商标贴纸，客户表示这种低级问题已经不止一次发生，要求工厂必须重视生产过程中的细节问题，要求出具8D报告，并且要求立刻快递补料
【订单号】MO2601135004F
【订单数量】260
【不良数量】1
【不良率】0.38%
【序列号】见图片（客户后五位与我司序列号对应）
【客户诉求】要求工厂必须重视生产过程中的细节问题，要求出具8D报告</t>
  </si>
  <si>
    <t>要求工厂必须重视生产过程中的细节问题，要求出具8D报告</t>
  </si>
  <si>
    <t>给客户补料商标标贴</t>
  </si>
  <si>
    <t>1、该台机器核实是一次过线生产，生产时间临近午休时间，产线员工漏贴标贴后，休息时间结束再次上岗，全岗位检验失效，导致不良流出；</t>
  </si>
  <si>
    <t>1、针对现有人工检查外观检验失效的问题，厂内强制推动外观视觉检验联动系统扫码，由系统来判定外观是否合格，线上如有发现不合格，会停线并锁定条码，保存外观照片和检验结果，直至处理完成后重新扫码才予以放行。以此避免后续不良问题再次发生</t>
  </si>
  <si>
    <t>中山工厂外机总装课/制程品管部</t>
  </si>
  <si>
    <t>漏印商标</t>
  </si>
  <si>
    <t>【问题描述】尼日利亚客户反馈KS-18TRS机型有121套毛细管接管的管径和截止阀接管的管径不相符，截止阀接管管径过小，导致毛细管没办法插入。客户要求出具8D查清楚不良原因以及提供改善措施，并且需要给客户安排补料，后续可能还会涉及到费用索赔
【订单号】MO2601134130S 
【订单机型】KS-18TRS
【订单数量】222
【不良数量】121
【不良率】54.5%
【序列号】见附件
【客户诉求】客户要求出具8D查清楚不良原因以及提供改善措施，并且需要给客户安排补料，后续可能还会涉及到费用索赔</t>
  </si>
  <si>
    <t>客户要求出具8D查清楚不良原因以及提供改善措施，并且需要给客户安排补料，后续可能还会涉及到费用索赔</t>
  </si>
  <si>
    <t>给客户快递补料正确截止阀</t>
  </si>
  <si>
    <t>1、生产过程中混料</t>
  </si>
  <si>
    <t>1、增加检验工序，优化作业内容：生产毛细管打包上线截止阀装配机型时，生产安排人员对每台机器毛细管及截止阀组件进行上线互配插管检验、品质岗位每半小时对过线机器进行毛细管与截止阀组件进行互配插管检验。
2、仅允许领取当天所用物料，阀体预装岗位不允许多批次物料进行摆放。阀体预装前后，均需按照批次摞放，并放置标识牌备注批次、物料编码、截止阀规格。
3、两器整理截止阀接管形似物料，进行打点+颜色防呆。</t>
  </si>
  <si>
    <t>广州工厂</t>
  </si>
  <si>
    <t>【问题描述】台湾远扬客户反馈1186A箱体中框变形，客户要求补料满足生产，并提供分析原因和改善措施的报告
【订单号】MO2601132435F
【订单机型】FRE32-72TI-F
【订单数量】140
【不良数量】140
【不良率】100%
【客户诉求】客户要求补料满足生产，并提供分析原因和改善措施的报告</t>
  </si>
  <si>
    <t>客户要求补料满足生产，并提供分析原因和改善措施的报告</t>
  </si>
  <si>
    <t>给客户补料中框</t>
  </si>
  <si>
    <t>1、生产过程中中框因摆放不符合要求批量变形，中框长时间横向摆放互相挤压导致变形，部分部位凸起。
2、产线采取了挑选使用的方案进行生产，存在轻微变形的中框流出。工厂对外观标准把控不严，导致该问题流出。</t>
  </si>
  <si>
    <t>1、更改来料放置方式，横向更改为竖向放置，严禁堆积摆放，完善管理文件。
2、组织外观岗位进行对该案例进行培训，增加中框出风口下沿部位的检验要求并完善至检验文件中。</t>
  </si>
  <si>
    <t>品质管理部</t>
  </si>
  <si>
    <t>【问题描述】北美Z客户反馈收到1台24K室外机贴着K客户09K的铭牌，详见客户提供的照片。
,【订单号】MO2603138139
【涉及机型】MAJESTIC-24K220V-S2
【订单数量】150
【不良数量】目前反馈1台
【条码】140202BX65W1D263R000031
【客户诉求】原因分析并改善。</t>
  </si>
  <si>
    <t>提供分析原因和改善措施的报告</t>
  </si>
  <si>
    <t>给客户提供了50张铭牌</t>
  </si>
  <si>
    <t>本次问题的直接原因是：未按转批次物料清退要求执行，导致上一批次遗留铭牌混入下一批次使用。员工接班时未仔细核对铭牌型号，加之两款铭牌尺寸相近、材质相同，难以快速区分。整体属于班组管理疏漏，非批量性质量事故。</t>
  </si>
  <si>
    <t>1 班组转批清退上批次印刷件物料，巡检首检每批次通报执行情况，未按要求执行停线处理。 陈欣/刘遇生 持续执行
2 针对标贴件管理失效问题，中山一厂已推行标贴件电子柜进行批次隔离管理，同时已要求三组转批次时由组长收集上批次多余标贴件隔离放置。 刘见东 已完成</t>
  </si>
  <si>
    <t>肯尼亚</t>
  </si>
  <si>
    <t>【问题描述】客户反馈12K机型刚安装两周的时间，显示板就出现故障，客户自己排查出红外收发模块有问题，更换了红外收发模块后就能正常工作。客户已经把不良件退回来给我们分析，要求分析原因并提供改善措施
【订单号】MO2601134224
【订单机型】WVG12
【订单数量】100
【不良数量】2
【不良率】2%
【客户诉求】分析不良件，给出不良原因分析和改善措施</t>
  </si>
  <si>
    <t>分析不良件，给出不良原因分析和改善措施</t>
  </si>
  <si>
    <t>1、接收头内部芯片发生EOS损伤，导致静态电流偏大、输出波形异常。
2、芯片在客户端长期使用过程中遭受了累计性或瞬间过电压/过电流冲击（如静电放电、电源浪涌、电网波动、热插拔等）导致EOS损伤；
结论：该不良现象为环境因素（电压波动、浪涌冲击等）诱发的接收头芯片EOS损伤，导致无法正常收发红外信号</t>
  </si>
  <si>
    <t>1、厂家IQC来料检验中，增加接收头ESD/EOS敏感度测试（如人体模型HBM、浪涌冲击），要求供应商提供抗EOS能力报告；
2、厂家对显示控制板增加周期性型式试验项目；
3、厂家建立关键器件选型与认证标准
4、厂家接收头工艺变更：由手工插件（DIP）改为贴片（SMT）</t>
  </si>
  <si>
    <t>供应商—建滔</t>
  </si>
  <si>
    <t>厂家出具的8D分析报告</t>
  </si>
  <si>
    <t>【问题描述】台湾奇美客户反馈Tplus中框发黄问题，客户抽检8台库存，均发现有发黄的现象和痕迹。目前客户已经停止销售该机型，需要我们紧急给出不良原因分析和改善措施，并且需要紧急给客户一个处理方案
【订单号】MO2602137459F
&lt;RB-S63HK1&gt;&lt;QRBS63HK10600156~QRBS63HK10600310&gt;
MO2512131122
&lt;RC-S63HK1&gt;&lt;QRCS63HK10600001~QRCS63HK10600155&gt;
【订单数量】310
【不良数量】10（市场反馈+仓库抽检）
【不良率】3.23%
【序列号】
QRBS63HK10600092
QRBS63HK10600126
QRBS63HK10600127
QRBS63HK10600129
QRBS63HK10600150
QRBS63HK10600198
QRBS63HK10600210
QRBS63HK10600221
QRBS63HK10600110
QRBS63HK10600103
【客户诉求】需要我们紧急给出不良原因分析和改善措施，并且需要紧急给客户一个处理方案，并且客户第三批货即将到港，如何确保新货没有这个问题</t>
  </si>
  <si>
    <t>需要我们紧急给出不良原因分析和改善措施，并且需要紧急给客户一个处理方案，并且客户第三批货即将到港，如何确保新货没有这个问题</t>
  </si>
  <si>
    <t>给客户补料中框和更换部分内机</t>
  </si>
  <si>
    <t>【问题描述】美国E客户反馈货柜开柜倾倒的问题，客户强调我们的装柜方式有问题，要求查明原因以及输出改善措施，改善装柜方式
【柜号】ZCSU708342940
【客户诉求】求查明原因以及输出改善措施，改善装柜方式</t>
  </si>
  <si>
    <t>求查明原因以及输出改善措施，改善装柜方式</t>
  </si>
  <si>
    <t>1、仓库未按标准装柜规范执行装柜，柜内外机打横码放多层，导致开柜倾倒
2、仓管员对装柜规范作业步骤操作部分流程缺失。
3、装柜过程中造成纸箱破损未挑出隔离。
4、监装人员对装柜品质意识欠缺积极性，无全程监督装柜过程。
5、仓库未上报此类异常，未评判装柜方案不符合装柜质量造成的隐患风险。</t>
  </si>
  <si>
    <t>1、重申《CDC空调装柜规范》： 明确规定多层外机多层码垛必须纵向（顺向）摆放，严禁横向打横。
2、监装员复检货柜情况，发现异常时及时反馈上报。指定仓管员为装柜质量第一责任人，监装人员为复查责任人。
3、规范仓库仓管员、搬运工作业标准，对有异常未反馈上报的违规考核。
4、针对仓库搬运工开展专项培训，重点讲解外机多层横向码垛的质量安全及正确操作方法。
5、搬运工装柜问题下发管理文件，鼓励搬运工及时反馈异常，对主动上报风险的人员给予奖励。
6、要求仓库再现此类装柜问题时，上报至仓储部与品质部，重新制定合理装柜方案。</t>
  </si>
  <si>
    <t>物流公司</t>
  </si>
  <si>
    <t>【问题描述】西亚H客户反馈市场投诉18K室外机由于三通阀错误，导致现场内外机无法连接，详见客户提供的照片和视频。
【订单号】MO2511125941
【涉及机型】18IVD
【订单数量】1550
【不良数量】目前反馈1台
【条码】140202BDOGW1625CF000386
【客户诉求】调查分析并提供解决方案。</t>
  </si>
  <si>
    <t>调查分析并提供解决方案。</t>
  </si>
  <si>
    <t>给客户快递了10个转接头。</t>
  </si>
  <si>
    <t xml:space="preserve">查询此条码机过线记录，为2025年12月18日14:10:49上线，15:40:25下线，属于一次过线机，无返修埋拉记录；确认为打截止阀岗位使用错误，复查当天生产批次使用物料无客诉错误截止阀代码，总装遗留物料使用错误，风险数量1件。
检验失效原因：上快速接头及阀帽互检失效导致流出。
</t>
  </si>
  <si>
    <t xml:space="preserve">1、针对全厂上快速接头岗位员工培训宣贯此案例，每批次发现不匹配截止阀反馈组长并完善相关SOP互检要求。——陈欣、吴亚彬 6.5
2、针对上快速接头岗位，当线使用当批次快速接头，非当批次接头隔离锁柜。——陈欣、刘遇生 6.2
</t>
  </si>
  <si>
    <t>荷兰</t>
  </si>
  <si>
    <t>9</t>
  </si>
  <si>
    <t>【问题描述】荷兰B客户反馈1台一拖三外机低频噪音大，如视频。  
【订单号】MO2512131164
【机器型号】BRAC-FM-IT2-24-R3-O
【机型编码】Z2U20607080110
【故障数量】1
【客户需求】给出处理方案。</t>
  </si>
  <si>
    <t>给出处理方案</t>
  </si>
  <si>
    <t>补发10块电装+2个烧录器</t>
  </si>
  <si>
    <t xml:space="preserve">低温制冷或者高温制热下机器在低频，低于25Hz时会出现阀片的拍打“哒哒”声
</t>
  </si>
  <si>
    <t>提高最低运行频率到25Hz,同时禁用外机电机转速590-620</t>
  </si>
  <si>
    <t>设计开发</t>
  </si>
  <si>
    <t>风管机</t>
  </si>
  <si>
    <t>【问题描述】土耳其A客户反馈HANTECH HNT-D55VTTC风管机安装30台有8台报EF，客户确认是电装上的风机模块烧毁导致。  
【订单号】MO241299248
【机器型号】HNT-D55VTTC
【条形码】1ANPQNR300ZR31400049等
【故障数量】8
【客户需求】调查原因并给出处理方案。</t>
  </si>
  <si>
    <t>补偿配件</t>
  </si>
  <si>
    <t>补发100块电装</t>
  </si>
  <si>
    <t xml:space="preserve">仓储定置定位不足，发料系统搭建不完善，导致人员配送错散热器；成型房
&amp;DIP班组物料核查失效导致散热器用错不良流出
</t>
  </si>
  <si>
    <t>1 重新规划散热器存放库存，定置定位。
2 完善WMS系统，扫描发料校对、拆分箱
3 完善成型房首检表，增加首件水印照片存档
4 DIP视觉检测优化程序，增加检测框拦截散热器尺寸异常
5 推进同一平台同一规格模块散热器要求统一</t>
  </si>
  <si>
    <t>柜机</t>
  </si>
  <si>
    <t>【问题描述】土耳其A客户H品牌客户反馈柜机内机电机E6问题超过50台，故障率达到15%，请跟进处理。
【订单号】MO2510123724
【订单数量】360
【型号】HNT-S48VMTC/S
【故障数量】50
【客户需求】空运50个，后续补发400个</t>
  </si>
  <si>
    <t>【问题描述】美国D客户反馈24K室内机的管接头错误导致无法连接，BOM管接头要求7/8’，实际收到的为3/4’，导致无法与配备的15.88的连接管连接。
【订单号】MO2504110863
【不良机型】048-TP-23K2V-23S-IN
【订单数量】242
【不良数量】2（已提供一台条形码和视频，另外一台待提供）
【不良条码】140201AUCGZS3256D000076
【客户诉求】要求分析调查及改善。</t>
  </si>
  <si>
    <t>要求分析调查及改善。</t>
  </si>
  <si>
    <t>紧急反馈至印尼工厂调查分析。</t>
  </si>
  <si>
    <t>根本原因
物料错误：错用了本应用于18K型号的蒸发器（物料号92011-010388），而23K型号应使用92011-010389。
外观相似：两种蒸发器外形尺寸一致，难以目视区分。
换线管理缺失：生产线上23K和18K型号混产，换型时未及时清理残留的18K零件，导致装错。
检查不到位：品质检查表虽有蒸发器检查项，但未包含管接头尺寸核验，且实际未执行有效检查。</t>
  </si>
  <si>
    <t>已采取的短期措施
1.核实投诉产品的生产、发货及品保记录，均为合格品。
2.确认问题物料来源和混用原因。
长期改善措施
1.制作专用检具，用于现场快速核对各型号蒸发器管接头尺寸。
2.更新作业指导书，增加不同型号蒸发器的外观对比图示。
3.在操作点检卡中增设独立工位，专门检查蒸发器螺母尺寸。
4.对操作人员进行再培训，强调换线清场流程和检具使用方法。</t>
  </si>
  <si>
    <t>【问题描述】美国R客户反馈R454B拖三机型只配置两个室内机时，即拖三机器当拖二用,在安装次日午后高温时段报E9/P0故障，目前已经收到8台新机安装次日午后高温时段报故障。
【机器型号】RDZ-28MHP-230V-O
【订单编码】Z4U20607080813
【原型机编码】Z2U20607000263/TFM3-27CHH/(I)(E/6)-t(000263)
【故障数量】8
【客户需求】调查分析并提供处理方案。</t>
  </si>
  <si>
    <t>调查分析并提供处理方案。</t>
  </si>
  <si>
    <t>【问题描述】西亚Z客户近期反馈，同一机型的箱单重量存在较大偏差，导致单证资料需反复修改，已产生额外费用；情节严重时，甚至可能面临货物被海关扣押的风险。
【参考订单号】M02602136756 (中山)M02601134663 (中山)M02601135047F(广州)M02601134346 (中山)MO2601135047F (广州)
【参考发货单号】SSWH20260525131347等
【客户诉求】调查分析并改善。</t>
  </si>
  <si>
    <t>调查分析并改善。</t>
  </si>
  <si>
    <t>【问题描述】台湾Z客户反馈室外机顶盖压伤，客户要求分析不良原因以及提供改善措施
【订单号】MO2512131559
【不良机型】YMTI-41TH/YMTO-41TH
【订单数量】160
【不良数量】5（客户还在生产中，后续可能还有反馈）
【不良条码】140202BN46W1C2657000013
【客户诉求】要求分析不良原因以及提供改善措施</t>
  </si>
  <si>
    <t>分析不良原因以及提供改善措施</t>
  </si>
  <si>
    <t>给客户补料顶盖和纸箱</t>
  </si>
  <si>
    <t>1、不良为顶部向内挤压长条状变形，实物为受外力压伤或者套布袋装框时硬挤压产生的不良；
2、因顶盖装框较紧，员工装框作业手法不规范，前面码垛的产品倾斜，最后几件无法正常放入，员工强行装框硬顶造成部分产品有硬挤压压伤不良；
3、因装框节拍和线速不匹配，导致最后几件装箱困难，造成不良。</t>
  </si>
  <si>
    <t>1、在包装线中增加一个打包台，分流顶盖打包，平衡打包节拍，确保员工可以顺畅操作装框；
2、修订打包作业指导书，更新作业手法，重新定岗，增加多一人自己打包自己装框，确保整线打包节拍可以执行；</t>
  </si>
  <si>
    <t>【问题描述】台湾奇美客户反馈机型RB-S42HA1/RC-S42HA1在安装使用一年后，连接管铜锣母出现开裂导致漏冷媒，目前有发现约20台。客户想让我们分析不良原因并看下能否改善
【订单号】MO240172152
【订单数量】332
【不良数量】20
【不良率】6.02%
【客户诉求】分析不良原因并看下能否改善</t>
  </si>
  <si>
    <t>分析不良原因并看下能否改善</t>
  </si>
  <si>
    <t>1、该螺母为中后期应力腐蚀开裂，在长期使用应力与腐蚀介质持续作用下裂纹充分扩展</t>
  </si>
  <si>
    <t>1、对铜锣母壁厚进行加厚处理</t>
  </si>
  <si>
    <t>【问题描述】尼日利亚K客户反馈散件单错漏发物料的问题，其中错误排气管16件，错误排气管和错误毛细管8件，漏发排气管24件，共48件有问题，客户要求我们查明不良原因以及提供改善措施，并且立即安排空运补发物料
【订单号】MO2601134130S
【柜号】MSNU7106904
【订单机型】KS-18TRS
【订单数量】222
【不良数量】48
【不良率】21.6%
【序列号】见附表
【客户诉求】查明不良原因以及提供改善措施，并且立即安排空运补发物料</t>
  </si>
  <si>
    <t>查明不良原因以及提供改善措施，并且立即安排空运补发物料</t>
  </si>
  <si>
    <t>空运补发物料</t>
  </si>
  <si>
    <t>一、排气管、毛细管漏装原因
1、按技术标准，管路件需气泡袋封装、隔音棉包裹后上线装配，作业人员装配时漏取物料，造成零部件漏装。
2、管路物料上线无核对工序，过程检验未落实可视化检查，导致漏装不良品流出。
二、排气管混料原因
1、核对KS-18TRS机型当周生产图纸，未发现错件对应机型物料，可排除批次混用问题，判定为来料混料异常。
2、合格与非标排气管在同一弯管机左右工位同步生产，设备调试期间管件下料杂乱；两工位间距过近，员工二次整理物料时将两种规格管件混装至同一物料框，最终造成混料不良。</t>
  </si>
  <si>
    <t>1、预装前班组长按图纸完成管路首件封样，操作工对照封样核对配件数量与铜管成型。
2、空壳机待检环节增设专职检验员巡检管路错漏装，每半小时拍照同步产线巡检。
3、更新 SOP：毛细管气泡袋包装后置于压缩机旁，美纹胶固定底盘，便于质检拦截不良。
4、更新 SOP：毛细管套气泡袋后放置压缩机侧边，用美纹胶固定在底盘，方便检验人员拦截不良品。
5、两器配管装箱员定为关键岗，持证上岗，熟练区分管路规格、识别弯管缺陷，杜绝混料不良。</t>
  </si>
  <si>
    <t>广州工厂/质量管理部</t>
  </si>
  <si>
    <t>有考核通报</t>
  </si>
  <si>
    <t>俄罗斯</t>
  </si>
  <si>
    <r>
      <rPr>
        <sz val="9"/>
        <color rgb="FF000000"/>
        <rFont val="微软雅黑"/>
        <charset val="134"/>
      </rPr>
      <t>【问题描述】俄罗斯K品牌客户反馈内机丝印印反2台，如下图。</t>
    </r>
    <r>
      <rPr>
        <sz val="9"/>
        <color rgb="FF000000"/>
        <rFont val="微软雅黑"/>
        <charset val="134"/>
      </rPr>
      <t xml:space="preserve">  </t>
    </r>
    <r>
      <rPr>
        <sz val="9"/>
        <color rgb="FF000000"/>
        <rFont val="微软雅黑"/>
        <charset val="134"/>
      </rPr>
      <t xml:space="preserve">
</t>
    </r>
    <r>
      <rPr>
        <sz val="9"/>
        <color rgb="FF000000"/>
        <rFont val="微软雅黑"/>
        <charset val="134"/>
      </rPr>
      <t>【订单号】MO241197113</t>
    </r>
    <r>
      <rPr>
        <sz val="9"/>
        <color rgb="FF000000"/>
        <rFont val="微软雅黑"/>
        <charset val="134"/>
      </rPr>
      <t xml:space="preserve">
</t>
    </r>
    <r>
      <rPr>
        <sz val="9"/>
        <color rgb="FF000000"/>
        <rFont val="微软雅黑"/>
        <charset val="134"/>
      </rPr>
      <t>【机器型号】KSGHA26HZRN1</t>
    </r>
    <r>
      <rPr>
        <sz val="9"/>
        <color rgb="FF000000"/>
        <rFont val="微软雅黑"/>
        <charset val="134"/>
      </rPr>
      <t xml:space="preserve">
</t>
    </r>
    <r>
      <rPr>
        <sz val="9"/>
        <color rgb="FF000000"/>
        <rFont val="微软雅黑"/>
        <charset val="134"/>
      </rPr>
      <t>【条形码】140201AE4PN292535001277，140201AE4PN292535001282</t>
    </r>
    <r>
      <rPr>
        <sz val="9"/>
        <color rgb="FF000000"/>
        <rFont val="微软雅黑"/>
        <charset val="134"/>
      </rPr>
      <t xml:space="preserve">
</t>
    </r>
    <r>
      <rPr>
        <sz val="9"/>
        <color rgb="FF000000"/>
        <rFont val="微软雅黑"/>
        <charset val="134"/>
      </rPr>
      <t>【故障数量】2</t>
    </r>
    <r>
      <rPr>
        <sz val="9"/>
        <color rgb="FF000000"/>
        <rFont val="微软雅黑"/>
        <charset val="134"/>
      </rPr>
      <t xml:space="preserve">
</t>
    </r>
    <r>
      <rPr>
        <sz val="9"/>
        <color rgb="FF000000"/>
        <rFont val="微软雅黑"/>
        <charset val="134"/>
      </rPr>
      <t>【客户需求】给出整改方案。</t>
    </r>
  </si>
  <si>
    <t>调查原因提供整改措施</t>
  </si>
  <si>
    <t>补发面板更换</t>
  </si>
  <si>
    <r>
      <rPr>
        <sz val="9"/>
        <color rgb="FF000000"/>
        <rFont val="微软雅黑"/>
        <charset val="134"/>
      </rPr>
      <t>【问题描述】葡萄牙B品牌客户订单发荷兰一拖三反馈发现5台单开一台另外两台三通阀结霜问题，已发现5台。</t>
    </r>
    <r>
      <rPr>
        <sz val="9"/>
        <color rgb="FF000000"/>
        <rFont val="微软雅黑"/>
        <charset val="134"/>
      </rPr>
      <t xml:space="preserve">
</t>
    </r>
    <r>
      <rPr>
        <sz val="9"/>
        <color rgb="FF000000"/>
        <rFont val="微软雅黑"/>
        <charset val="134"/>
      </rPr>
      <t>【订单号】MO2512131164</t>
    </r>
    <r>
      <rPr>
        <sz val="9"/>
        <color rgb="FF000000"/>
        <rFont val="微软雅黑"/>
        <charset val="134"/>
      </rPr>
      <t xml:space="preserve">
</t>
    </r>
    <r>
      <rPr>
        <sz val="9"/>
        <color rgb="FF000000"/>
        <rFont val="微软雅黑"/>
        <charset val="134"/>
      </rPr>
      <t>【机型型号】BRAC-FM-IT2-24-R3-O</t>
    </r>
    <r>
      <rPr>
        <sz val="9"/>
        <color rgb="FF000000"/>
        <rFont val="微软雅黑"/>
        <charset val="134"/>
      </rPr>
      <t xml:space="preserve">
</t>
    </r>
    <r>
      <rPr>
        <sz val="9"/>
        <color rgb="FF000000"/>
        <rFont val="微软雅黑"/>
        <charset val="134"/>
      </rPr>
      <t>【订单数量】210已发走105台</t>
    </r>
    <r>
      <rPr>
        <sz val="9"/>
        <color rgb="FF000000"/>
        <rFont val="微软雅黑"/>
        <charset val="134"/>
      </rPr>
      <t xml:space="preserve">
</t>
    </r>
    <r>
      <rPr>
        <sz val="9"/>
        <color rgb="FF000000"/>
        <rFont val="微软雅黑"/>
        <charset val="134"/>
      </rPr>
      <t>【原型机编码】：Z2U20607080110</t>
    </r>
    <r>
      <rPr>
        <sz val="9"/>
        <color rgb="FF000000"/>
        <rFont val="微软雅黑"/>
        <charset val="134"/>
      </rPr>
      <t xml:space="preserve">
</t>
    </r>
    <r>
      <rPr>
        <sz val="9"/>
        <color rgb="FF000000"/>
        <rFont val="微软雅黑"/>
        <charset val="134"/>
      </rPr>
      <t>经品质调查是电子膨胀阀标识A，B，C贴反，未发走库存已返包。</t>
    </r>
  </si>
  <si>
    <t>派人现场返包</t>
  </si>
  <si>
    <r>
      <rPr>
        <sz val="9"/>
        <color rgb="FF000000"/>
        <rFont val="微软雅黑"/>
        <charset val="134"/>
      </rPr>
      <t>【问题描述】土耳其A客户反馈MO2601133017 HNT-C48VMTC260/I 天花机风扇平衡产生噪音2台。</t>
    </r>
    <r>
      <rPr>
        <sz val="9"/>
        <color rgb="FF000000"/>
        <rFont val="微软雅黑"/>
        <charset val="134"/>
      </rPr>
      <t xml:space="preserve">
</t>
    </r>
    <r>
      <rPr>
        <sz val="9"/>
        <color rgb="FF000000"/>
        <rFont val="微软雅黑"/>
        <charset val="134"/>
      </rPr>
      <t>【订单号】MO2601133017</t>
    </r>
    <r>
      <rPr>
        <sz val="9"/>
        <color rgb="FF000000"/>
        <rFont val="微软雅黑"/>
        <charset val="134"/>
      </rPr>
      <t xml:space="preserve">
</t>
    </r>
    <r>
      <rPr>
        <sz val="9"/>
        <color rgb="FF000000"/>
        <rFont val="微软雅黑"/>
        <charset val="134"/>
      </rPr>
      <t>【机器型号】HNT-C48VMTC260/I</t>
    </r>
    <r>
      <rPr>
        <sz val="9"/>
        <color rgb="FF000000"/>
        <rFont val="微软雅黑"/>
        <charset val="134"/>
      </rPr>
      <t xml:space="preserve">
</t>
    </r>
    <r>
      <rPr>
        <sz val="9"/>
        <color rgb="FF000000"/>
        <rFont val="微软雅黑"/>
        <charset val="134"/>
      </rPr>
      <t>【订单数量】500</t>
    </r>
    <r>
      <rPr>
        <sz val="9"/>
        <color rgb="FF000000"/>
        <rFont val="微软雅黑"/>
        <charset val="134"/>
      </rPr>
      <t xml:space="preserve">
</t>
    </r>
    <r>
      <rPr>
        <sz val="9"/>
        <color rgb="FF000000"/>
        <rFont val="微软雅黑"/>
        <charset val="134"/>
      </rPr>
      <t>【故障数量】2</t>
    </r>
    <r>
      <rPr>
        <sz val="9"/>
        <color rgb="FF000000"/>
        <rFont val="微软雅黑"/>
        <charset val="134"/>
      </rPr>
      <t xml:space="preserve">
</t>
    </r>
    <r>
      <rPr>
        <sz val="9"/>
        <color rgb="FF000000"/>
        <rFont val="微软雅黑"/>
        <charset val="134"/>
      </rPr>
      <t>【客户需求】派人出差处理</t>
    </r>
  </si>
  <si>
    <t>分析原因，补发物料</t>
  </si>
  <si>
    <t>补发物料</t>
  </si>
  <si>
    <r>
      <rPr>
        <sz val="9"/>
        <color rgb="FF000000"/>
        <rFont val="微软雅黑"/>
        <charset val="134"/>
      </rPr>
      <t>【客诉描述】阿根廷客户反馈全散件生产过程中发现芯片全部失效。客户要求快递物料解决已停线问题，并提供分析整改措施（如客户模板）</t>
    </r>
    <r>
      <rPr>
        <sz val="9"/>
        <color rgb="FF000000"/>
        <rFont val="微软雅黑"/>
        <charset val="134"/>
      </rPr>
      <t xml:space="preserve">
</t>
    </r>
    <r>
      <rPr>
        <sz val="9"/>
        <color rgb="FF000000"/>
        <rFont val="微软雅黑"/>
        <charset val="134"/>
      </rPr>
      <t>【订单号】MO2509121341SF</t>
    </r>
    <r>
      <rPr>
        <sz val="9"/>
        <color rgb="FF000000"/>
        <rFont val="微软雅黑"/>
        <charset val="134"/>
      </rPr>
      <t xml:space="preserve">
</t>
    </r>
    <r>
      <rPr>
        <sz val="9"/>
        <color rgb="FF000000"/>
        <rFont val="微软雅黑"/>
        <charset val="134"/>
      </rPr>
      <t>【机型】PHIN37HA2AN</t>
    </r>
    <r>
      <rPr>
        <sz val="9"/>
        <color rgb="FF000000"/>
        <rFont val="微软雅黑"/>
        <charset val="134"/>
      </rPr>
      <t xml:space="preserve">
</t>
    </r>
    <r>
      <rPr>
        <sz val="9"/>
        <color rgb="FF000000"/>
        <rFont val="微软雅黑"/>
        <charset val="134"/>
      </rPr>
      <t>【物料编码】11101-100020</t>
    </r>
    <r>
      <rPr>
        <sz val="9"/>
        <color rgb="FF000000"/>
        <rFont val="微软雅黑"/>
        <charset val="134"/>
      </rPr>
      <t xml:space="preserve">
</t>
    </r>
    <r>
      <rPr>
        <sz val="9"/>
        <color rgb="FF000000"/>
        <rFont val="微软雅黑"/>
        <charset val="134"/>
      </rPr>
      <t>【销售数量】48000，客户生产数量2080全部失效</t>
    </r>
    <r>
      <rPr>
        <sz val="9"/>
        <color rgb="FF000000"/>
        <rFont val="微软雅黑"/>
        <charset val="134"/>
      </rPr>
      <t xml:space="preserve">
</t>
    </r>
    <r>
      <rPr>
        <sz val="9"/>
        <color rgb="FF000000"/>
        <rFont val="微软雅黑"/>
        <charset val="134"/>
      </rPr>
      <t>【不良数量】2080</t>
    </r>
    <r>
      <rPr>
        <sz val="9"/>
        <color rgb="FF000000"/>
        <rFont val="微软雅黑"/>
        <charset val="134"/>
      </rPr>
      <t xml:space="preserve">
</t>
    </r>
    <r>
      <rPr>
        <sz val="9"/>
        <color rgb="FF000000"/>
        <rFont val="微软雅黑"/>
        <charset val="134"/>
      </rPr>
      <t>【故障率】100%</t>
    </r>
    <r>
      <rPr>
        <sz val="9"/>
        <color rgb="FF000000"/>
        <rFont val="微软雅黑"/>
        <charset val="134"/>
      </rPr>
      <t xml:space="preserve">
</t>
    </r>
    <r>
      <rPr>
        <sz val="9"/>
        <color rgb="FF000000"/>
        <rFont val="微软雅黑"/>
        <charset val="134"/>
      </rPr>
      <t>【客户需求】客户要求快递物料解决已停线问题，并提供分析整改措施（如客户模板）</t>
    </r>
    <r>
      <rPr>
        <sz val="9"/>
        <color rgb="FF000000"/>
        <rFont val="微软雅黑"/>
        <charset val="134"/>
      </rPr>
      <t xml:space="preserve">
</t>
    </r>
  </si>
  <si>
    <t>客户要求快递物料解决已停线问题，并提供分析整改措施（如客户模板）</t>
  </si>
  <si>
    <r>
      <rPr>
        <sz val="9"/>
        <color rgb="FF000000"/>
        <rFont val="微软雅黑"/>
        <charset val="134"/>
      </rPr>
      <t>【客诉描述】巴西客户投诉24/25年产品冷凝器、蒸发器与四通阀组件泄漏问题多，要求我司分析改善，具体见客户PPT</t>
    </r>
    <r>
      <rPr>
        <sz val="9"/>
        <color rgb="FF000000"/>
        <rFont val="微软雅黑"/>
        <charset val="134"/>
      </rPr>
      <t xml:space="preserve">
</t>
    </r>
    <r>
      <rPr>
        <sz val="9"/>
        <color rgb="FF000000"/>
        <rFont val="微软雅黑"/>
        <charset val="134"/>
      </rPr>
      <t>【订单号】MO241093880SF、MO2501102339SF等</t>
    </r>
    <r>
      <rPr>
        <sz val="9"/>
        <color rgb="FF000000"/>
        <rFont val="微软雅黑"/>
        <charset val="134"/>
      </rPr>
      <t xml:space="preserve">
</t>
    </r>
    <r>
      <rPr>
        <sz val="9"/>
        <color rgb="FF000000"/>
        <rFont val="微软雅黑"/>
        <charset val="134"/>
      </rPr>
      <t>【机型】CST12FR32-02I、CST24FR32-02IO等</t>
    </r>
    <r>
      <rPr>
        <sz val="9"/>
        <color rgb="FF000000"/>
        <rFont val="微软雅黑"/>
        <charset val="134"/>
      </rPr>
      <t xml:space="preserve">
</t>
    </r>
    <r>
      <rPr>
        <sz val="9"/>
        <color rgb="FF000000"/>
        <rFont val="微软雅黑"/>
        <charset val="134"/>
      </rPr>
      <t>【不良数量】冷凝器</t>
    </r>
    <r>
      <rPr>
        <sz val="9"/>
        <color rgb="FF000000"/>
        <rFont val="微软雅黑"/>
        <charset val="134"/>
      </rPr>
      <t xml:space="preserve">  </t>
    </r>
    <r>
      <rPr>
        <sz val="9"/>
        <color rgb="FF000000"/>
        <rFont val="微软雅黑"/>
        <charset val="134"/>
      </rPr>
      <t>- 96 件、蒸发器 - 87 件、四通阀 - 56 件</t>
    </r>
    <r>
      <rPr>
        <sz val="9"/>
        <color rgb="FF000000"/>
        <rFont val="微软雅黑"/>
        <charset val="134"/>
      </rPr>
      <t xml:space="preserve">
</t>
    </r>
    <r>
      <rPr>
        <sz val="9"/>
        <color rgb="FF000000"/>
        <rFont val="微软雅黑"/>
        <charset val="134"/>
      </rPr>
      <t>【客户需求】</t>
    </r>
    <r>
      <rPr>
        <sz val="9"/>
        <color rgb="FF000000"/>
        <rFont val="微软雅黑"/>
        <charset val="134"/>
      </rPr>
      <t xml:space="preserve">
</t>
    </r>
    <r>
      <rPr>
        <sz val="9"/>
        <color rgb="FF000000"/>
        <rFont val="微软雅黑"/>
        <charset val="134"/>
      </rPr>
      <t>1、采取什么整改措施；</t>
    </r>
    <r>
      <rPr>
        <sz val="9"/>
        <color rgb="FF000000"/>
        <rFont val="微软雅黑"/>
        <charset val="134"/>
      </rPr>
      <t xml:space="preserve">
</t>
    </r>
    <r>
      <rPr>
        <sz val="9"/>
        <color rgb="FF000000"/>
        <rFont val="微软雅黑"/>
        <charset val="134"/>
      </rPr>
      <t>2、哪些措施已实施；</t>
    </r>
    <r>
      <rPr>
        <sz val="9"/>
        <color rgb="FF000000"/>
        <rFont val="微软雅黑"/>
        <charset val="134"/>
      </rPr>
      <t xml:space="preserve">
</t>
    </r>
    <r>
      <rPr>
        <sz val="9"/>
        <color rgb="FF000000"/>
        <rFont val="微软雅黑"/>
        <charset val="134"/>
      </rPr>
      <t>3、改善措施从哪个订单开始。</t>
    </r>
    <r>
      <rPr>
        <sz val="9"/>
        <color rgb="FF000000"/>
        <rFont val="微软雅黑"/>
        <charset val="134"/>
      </rPr>
      <t xml:space="preserve">
</t>
    </r>
  </si>
  <si>
    <r>
      <rPr>
        <sz val="9"/>
        <color rgb="FF000000"/>
        <rFont val="微软雅黑"/>
        <charset val="134"/>
      </rPr>
      <t>1、采取什么整改措施；</t>
    </r>
    <r>
      <rPr>
        <sz val="9"/>
        <color rgb="FF000000"/>
        <rFont val="微软雅黑"/>
        <charset val="134"/>
      </rPr>
      <t xml:space="preserve">
</t>
    </r>
    <r>
      <rPr>
        <sz val="9"/>
        <color rgb="FF000000"/>
        <rFont val="微软雅黑"/>
        <charset val="134"/>
      </rPr>
      <t>2、哪些措施已实施；</t>
    </r>
    <r>
      <rPr>
        <sz val="9"/>
        <color rgb="FF000000"/>
        <rFont val="微软雅黑"/>
        <charset val="134"/>
      </rPr>
      <t xml:space="preserve">
</t>
    </r>
    <r>
      <rPr>
        <sz val="9"/>
        <color rgb="FF000000"/>
        <rFont val="微软雅黑"/>
        <charset val="134"/>
      </rPr>
      <t>3、改善措施从哪个订单开始。</t>
    </r>
    <r>
      <rPr>
        <sz val="9"/>
        <color rgb="FF000000"/>
        <rFont val="微软雅黑"/>
        <charset val="134"/>
      </rPr>
      <t xml:space="preserve">
</t>
    </r>
  </si>
  <si>
    <r>
      <rPr>
        <sz val="9"/>
        <color rgb="FF000000"/>
        <rFont val="微软雅黑"/>
        <charset val="134"/>
      </rPr>
      <t>【问题描述】美国D客户反馈12K室外机条形码型号/纸箱标贴与包装箱型号不一致，条形码和纸箱标贴是048-TL-12K2VB-23S-OUT，包装箱型号是048-IF-11K1VR-17S-OUT，详见客户提供的照片。</t>
    </r>
    <r>
      <rPr>
        <sz val="9"/>
        <color rgb="FF000000"/>
        <rFont val="微软雅黑"/>
        <charset val="134"/>
      </rPr>
      <t xml:space="preserve">
</t>
    </r>
    <r>
      <rPr>
        <sz val="9"/>
        <color rgb="FF000000"/>
        <rFont val="微软雅黑"/>
        <charset val="134"/>
      </rPr>
      <t>【型号】48-TL-12K2VB-23S-OUT</t>
    </r>
    <r>
      <rPr>
        <sz val="9"/>
        <color rgb="FF000000"/>
        <rFont val="微软雅黑"/>
        <charset val="134"/>
      </rPr>
      <t xml:space="preserve">
</t>
    </r>
    <r>
      <rPr>
        <sz val="9"/>
        <color rgb="FF000000"/>
        <rFont val="微软雅黑"/>
        <charset val="134"/>
      </rPr>
      <t>【机型条码】140202AQT2W16256P000277</t>
    </r>
    <r>
      <rPr>
        <sz val="9"/>
        <color rgb="FF000000"/>
        <rFont val="微软雅黑"/>
        <charset val="134"/>
      </rPr>
      <t xml:space="preserve">
</t>
    </r>
    <r>
      <rPr>
        <sz val="9"/>
        <color rgb="FF000000"/>
        <rFont val="微软雅黑"/>
        <charset val="134"/>
      </rPr>
      <t>【订单号】MO2504111712F</t>
    </r>
    <r>
      <rPr>
        <sz val="9"/>
        <color rgb="FF000000"/>
        <rFont val="微软雅黑"/>
        <charset val="134"/>
      </rPr>
      <t xml:space="preserve">
</t>
    </r>
    <r>
      <rPr>
        <sz val="9"/>
        <color rgb="FF000000"/>
        <rFont val="微软雅黑"/>
        <charset val="134"/>
      </rPr>
      <t>【客户诉求】分析调查是批量性问题还是个案问题，以及后续改善。</t>
    </r>
  </si>
  <si>
    <t>分析调查是批量性问题还是个案问题，以及后续改善。</t>
  </si>
  <si>
    <t>本次客户反馈机型标贴与包装箱型号不符异常，根本原因系003300020628批次2件备损纸箱未隔离清退误用、违规扫码过线所致，锁定邻近高风险4台产品条码尾号为0251、0319、0264、0468。</t>
  </si>
  <si>
    <r>
      <rPr>
        <sz val="9"/>
        <color rgb="FF000000"/>
        <rFont val="微软雅黑"/>
        <charset val="134"/>
      </rPr>
      <t xml:space="preserve">1、针对客诉纸箱型号错误问题，各PQE工程师组织外机总装课所有线体班组长、巡检、检验员检讨，宣贯返包过程中本岗位作业内容的要求。-----责任人：刘遇生/陈欣，6月26日 </t>
    </r>
    <r>
      <rPr>
        <sz val="9"/>
        <color rgb="FF000000"/>
        <rFont val="微软雅黑"/>
        <charset val="134"/>
      </rPr>
      <t xml:space="preserve">
</t>
    </r>
    <r>
      <rPr>
        <sz val="9"/>
        <color rgb="FF000000"/>
        <rFont val="微软雅黑"/>
        <charset val="134"/>
      </rPr>
      <t>2、针对检验失效问题，规范返包作业标准流程，严格执行逐台上线、逐台过线、逐台扫码校验作业要求，严禁整批集中扫码、下线后统一补录、主动违规跳过工序等违规操作，杜绝流程作假与漏检。责任人：刘遇生，6月26日</t>
    </r>
    <r>
      <rPr>
        <sz val="9"/>
        <color rgb="FF000000"/>
        <rFont val="微软雅黑"/>
        <charset val="134"/>
      </rPr>
      <t xml:space="preserve">
</t>
    </r>
    <r>
      <rPr>
        <sz val="9"/>
        <color rgb="FF000000"/>
        <rFont val="微软雅黑"/>
        <charset val="134"/>
      </rPr>
      <t>3、MES系统硬性防呆优化，完善返包工艺路线配置，A返A返包工艺路线外观检验岗位不允许跳站，通过系统硬性防呆杜绝违规作业，从技术端规避人为操作风险。责任人：杨昌龙，6月30日</t>
    </r>
    <r>
      <rPr>
        <sz val="9"/>
        <color rgb="FF000000"/>
        <rFont val="微软雅黑"/>
        <charset val="134"/>
      </rPr>
      <t xml:space="preserve">
</t>
    </r>
  </si>
  <si>
    <t>墨西哥</t>
  </si>
  <si>
    <r>
      <rPr>
        <sz val="9"/>
        <color rgb="FF000000"/>
        <rFont val="微软雅黑"/>
        <charset val="134"/>
      </rPr>
      <t>【问题描述】墨西哥B客户反馈24K/36K室外机的继电器，刚运行2、3天继电器就烧坏，而且是大批量的问题，对客户品牌的声誉造成很大影响，要求我们尽快拿出解决方案，详见客户提供的视频。</t>
    </r>
    <r>
      <rPr>
        <sz val="9"/>
        <color rgb="FF000000"/>
        <rFont val="微软雅黑"/>
        <charset val="134"/>
      </rPr>
      <t xml:space="preserve">
</t>
    </r>
    <r>
      <rPr>
        <sz val="9"/>
        <color rgb="FF000000"/>
        <rFont val="微软雅黑"/>
        <charset val="134"/>
      </rPr>
      <t>目前客户通过自己买继电器来解决最近的售后问题。</t>
    </r>
    <r>
      <rPr>
        <sz val="9"/>
        <color rgb="FF000000"/>
        <rFont val="微软雅黑"/>
        <charset val="134"/>
      </rPr>
      <t xml:space="preserve">
</t>
    </r>
    <r>
      <rPr>
        <sz val="9"/>
        <color rgb="FF000000"/>
        <rFont val="微软雅黑"/>
        <charset val="134"/>
      </rPr>
      <t>【参考订单】24K/36K:MO2603138936</t>
    </r>
    <r>
      <rPr>
        <sz val="9"/>
        <color rgb="FF000000"/>
        <rFont val="微软雅黑"/>
        <charset val="134"/>
      </rPr>
      <t xml:space="preserve">
</t>
    </r>
    <r>
      <rPr>
        <sz val="9"/>
        <color rgb="FF000000"/>
        <rFont val="微软雅黑"/>
        <charset val="134"/>
      </rPr>
      <t>【原型机型编码】24K:Z2U20101082076;36K:Z4U20101089236</t>
    </r>
    <r>
      <rPr>
        <sz val="9"/>
        <color rgb="FF000000"/>
        <rFont val="微软雅黑"/>
        <charset val="134"/>
      </rPr>
      <t xml:space="preserve">
</t>
    </r>
    <r>
      <rPr>
        <sz val="9"/>
        <color rgb="FF000000"/>
        <rFont val="微软雅黑"/>
        <charset val="134"/>
      </rPr>
      <t>【订单机编码】24K:Z4U20101099271;36K:Z4U20101099279</t>
    </r>
    <r>
      <rPr>
        <sz val="9"/>
        <color rgb="FF000000"/>
        <rFont val="微软雅黑"/>
        <charset val="134"/>
      </rPr>
      <t xml:space="preserve">
</t>
    </r>
    <r>
      <rPr>
        <sz val="9"/>
        <color rgb="FF000000"/>
        <rFont val="微软雅黑"/>
        <charset val="134"/>
      </rPr>
      <t>【继电器编码】11501-100057</t>
    </r>
    <r>
      <rPr>
        <sz val="9"/>
        <color rgb="FF000000"/>
        <rFont val="微软雅黑"/>
        <charset val="134"/>
      </rPr>
      <t xml:space="preserve">
</t>
    </r>
    <r>
      <rPr>
        <sz val="9"/>
        <color rgb="FF000000"/>
        <rFont val="微软雅黑"/>
        <charset val="134"/>
      </rPr>
      <t>【客户诉求】要求尽快分析原因并提供解决方案。</t>
    </r>
  </si>
  <si>
    <t>要求尽快分析原因并提供解决方案。</t>
  </si>
  <si>
    <r>
      <rPr>
        <sz val="9"/>
        <color rgb="FF000000"/>
        <rFont val="微软雅黑"/>
        <charset val="134"/>
      </rPr>
      <t>【问题描述】阿联酋D客户反馈漏贴和错贴两个问题，问题如下：</t>
    </r>
    <r>
      <rPr>
        <sz val="9"/>
        <color rgb="FF000000"/>
        <rFont val="微软雅黑"/>
        <charset val="134"/>
      </rPr>
      <t xml:space="preserve">
</t>
    </r>
    <r>
      <rPr>
        <sz val="9"/>
        <color rgb="FF000000"/>
        <rFont val="微软雅黑"/>
        <charset val="134"/>
      </rPr>
      <t>1、有两台外机漏贴室外机纸箱标贴，导致客户无法扫码入库。</t>
    </r>
    <r>
      <rPr>
        <sz val="9"/>
        <color rgb="FF000000"/>
        <rFont val="微软雅黑"/>
        <charset val="134"/>
      </rPr>
      <t xml:space="preserve">
</t>
    </r>
    <r>
      <rPr>
        <sz val="9"/>
        <color rgb="FF000000"/>
        <rFont val="微软雅黑"/>
        <charset val="134"/>
      </rPr>
      <t>【型号】MXZGQ18V1EW(变频单冷)</t>
    </r>
    <r>
      <rPr>
        <sz val="9"/>
        <color rgb="FF000000"/>
        <rFont val="微软雅黑"/>
        <charset val="134"/>
      </rPr>
      <t xml:space="preserve">
</t>
    </r>
    <r>
      <rPr>
        <sz val="9"/>
        <color rgb="FF000000"/>
        <rFont val="微软雅黑"/>
        <charset val="134"/>
      </rPr>
      <t>【订单号】MO2601132819</t>
    </r>
    <r>
      <rPr>
        <sz val="9"/>
        <color rgb="FF000000"/>
        <rFont val="微软雅黑"/>
        <charset val="134"/>
      </rPr>
      <t xml:space="preserve">
</t>
    </r>
    <r>
      <rPr>
        <sz val="9"/>
        <color rgb="FF000000"/>
        <rFont val="微软雅黑"/>
        <charset val="134"/>
      </rPr>
      <t>【条形码】140202BPE2W16261S000002(02565626127TO0002)</t>
    </r>
    <r>
      <rPr>
        <sz val="9"/>
        <color rgb="FF000000"/>
        <rFont val="微软雅黑"/>
        <charset val="134"/>
      </rPr>
      <t xml:space="preserve">
</t>
    </r>
    <r>
      <rPr>
        <sz val="9"/>
        <color rgb="FF000000"/>
        <rFont val="微软雅黑"/>
        <charset val="134"/>
      </rPr>
      <t>【型号】MNZGQ18V1EW（定频单冷）</t>
    </r>
    <r>
      <rPr>
        <sz val="9"/>
        <color rgb="FF000000"/>
        <rFont val="微软雅黑"/>
        <charset val="134"/>
      </rPr>
      <t xml:space="preserve">
</t>
    </r>
    <r>
      <rPr>
        <sz val="9"/>
        <color rgb="FF000000"/>
        <rFont val="微软雅黑"/>
        <charset val="134"/>
      </rPr>
      <t>【订单号】MO2601132820</t>
    </r>
    <r>
      <rPr>
        <sz val="9"/>
        <color rgb="FF000000"/>
        <rFont val="微软雅黑"/>
        <charset val="134"/>
      </rPr>
      <t xml:space="preserve">
</t>
    </r>
    <r>
      <rPr>
        <sz val="9"/>
        <color rgb="FF000000"/>
        <rFont val="微软雅黑"/>
        <charset val="134"/>
      </rPr>
      <t>【条形码】140202BPDFW16261S000049( 00817626127TO0049)</t>
    </r>
    <r>
      <rPr>
        <sz val="9"/>
        <color rgb="FF000000"/>
        <rFont val="微软雅黑"/>
        <charset val="134"/>
      </rPr>
      <t xml:space="preserve">
</t>
    </r>
    <r>
      <rPr>
        <sz val="9"/>
        <color rgb="FF000000"/>
        <rFont val="微软雅黑"/>
        <charset val="134"/>
      </rPr>
      <t>2、有一台18K定频单冷室外机纸箱标贴贴成变频单冷</t>
    </r>
    <r>
      <rPr>
        <sz val="9"/>
        <color rgb="FF000000"/>
        <rFont val="微软雅黑"/>
        <charset val="134"/>
      </rPr>
      <t xml:space="preserve">
</t>
    </r>
    <r>
      <rPr>
        <sz val="9"/>
        <color rgb="FF000000"/>
        <rFont val="微软雅黑"/>
        <charset val="134"/>
      </rPr>
      <t>【型号】条形码/铭牌型号为MNZGQ18V1EW（定频单冷）；外机错误纸箱标贴型号：MXZGQ18V1EW(变频单冷)</t>
    </r>
    <r>
      <rPr>
        <sz val="9"/>
        <color rgb="FF000000"/>
        <rFont val="微软雅黑"/>
        <charset val="134"/>
      </rPr>
      <t xml:space="preserve">
</t>
    </r>
    <r>
      <rPr>
        <sz val="9"/>
        <color rgb="FF000000"/>
        <rFont val="微软雅黑"/>
        <charset val="134"/>
      </rPr>
      <t>【订单号】MO2601132820</t>
    </r>
    <r>
      <rPr>
        <sz val="9"/>
        <color rgb="FF000000"/>
        <rFont val="微软雅黑"/>
        <charset val="134"/>
      </rPr>
      <t xml:space="preserve">
</t>
    </r>
    <r>
      <rPr>
        <sz val="9"/>
        <color rgb="FF000000"/>
        <rFont val="微软雅黑"/>
        <charset val="134"/>
      </rPr>
      <t>【条形码】140202BPDFW16261S000052(00817626127TO0052)</t>
    </r>
    <r>
      <rPr>
        <sz val="9"/>
        <color rgb="FF000000"/>
        <rFont val="微软雅黑"/>
        <charset val="134"/>
      </rPr>
      <t xml:space="preserve">
</t>
    </r>
    <r>
      <rPr>
        <sz val="9"/>
        <color rgb="FF000000"/>
        <rFont val="微软雅黑"/>
        <charset val="134"/>
      </rPr>
      <t>【客户诉求】要求尽快分析改善并提供解决方案。</t>
    </r>
  </si>
  <si>
    <t>要求尽快分析改善并提供解决方案。</t>
  </si>
  <si>
    <t>【问题描述】美国D客户反馈漏贴和错贴两个问题，问题如下：
1、有两台外机漏贴室外机纸箱标贴，导致客户无法扫码入库。
【型号】MXZGQ18V1EW(变频单冷)
【订单号】MO2601132819
【条形码】140202BPE2W16261S000002(02565626127TO0002)
【型号】MNZGQ18V1EW（定频单冷）
【订单号】MO2601132820
【条形码】140202BPDFW16261S000049( 00817626127TO0049)
2、有一台18K定频单冷室外机纸箱标贴贴成变频单冷
【型号】条形码/铭牌型号为MNZGQ18V1EW（定频单冷）；外机错误纸箱标贴型号：MXZGQ18V1EW(变频单冷)
【订单号】MO2601132820
【条形码】140202BPDFW16261S000052(00817626127TO0052)
【客户诉求】要求尽快分析改善并提供解决方案。</t>
  </si>
  <si>
    <t>2026海外市场退回件报表</t>
  </si>
  <si>
    <t>序号</t>
  </si>
  <si>
    <t>交于
品工时间</t>
  </si>
  <si>
    <t>国家</t>
  </si>
  <si>
    <t>业务员</t>
  </si>
  <si>
    <t>配件名称</t>
  </si>
  <si>
    <t>物料代码</t>
  </si>
  <si>
    <t>数量</t>
  </si>
  <si>
    <t>故障现象</t>
  </si>
  <si>
    <t>要求报告
完成时间</t>
  </si>
  <si>
    <t>分析原因</t>
  </si>
  <si>
    <t>实际
完成时间</t>
  </si>
  <si>
    <t>超期天数</t>
  </si>
  <si>
    <t>改善措施</t>
  </si>
  <si>
    <t>是否有8D</t>
  </si>
  <si>
    <t>运费</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</si>
</sst>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400]h:mm:ss\ AM/PM"/>
    <numFmt numFmtId="177" formatCode="m/d;@"/>
    <numFmt numFmtId="178" formatCode="0_);[Red]\(0\)"/>
    <numFmt numFmtId="179" formatCode="0.00_);[Red]\(0.00\)"/>
    <numFmt numFmtId="180" formatCode="0_ "/>
  </numFmts>
  <fonts count="64">
    <font>
      <sz val="11"/>
      <color indexed="8"/>
      <name val="宋体"/>
      <charset val="134"/>
    </font>
    <font>
      <sz val="12"/>
      <color theme="1"/>
      <name val="微软雅黑"/>
      <charset val="134"/>
    </font>
    <font>
      <sz val="9"/>
      <color theme="1"/>
      <name val="微软雅黑"/>
      <charset val="134"/>
    </font>
    <font>
      <b/>
      <sz val="24"/>
      <color theme="0"/>
      <name val="微软雅黑"/>
      <charset val="134"/>
    </font>
    <font>
      <b/>
      <sz val="12"/>
      <color theme="0"/>
      <name val="微软雅黑"/>
      <charset val="134"/>
    </font>
    <font>
      <sz val="13"/>
      <name val="宋体"/>
      <charset val="134"/>
    </font>
    <font>
      <sz val="11"/>
      <color theme="1"/>
      <name val="宋体"/>
      <charset val="134"/>
      <scheme val="minor"/>
    </font>
    <font>
      <sz val="11"/>
      <color indexed="8"/>
      <name val="微软雅黑"/>
      <charset val="134"/>
    </font>
    <font>
      <b/>
      <sz val="11"/>
      <color indexed="8"/>
      <name val="微软雅黑"/>
      <charset val="134"/>
    </font>
    <font>
      <b/>
      <sz val="9"/>
      <color indexed="8"/>
      <name val="微软雅黑"/>
      <charset val="134"/>
    </font>
    <font>
      <sz val="9"/>
      <color indexed="8"/>
      <name val="微软雅黑"/>
      <charset val="134"/>
    </font>
    <font>
      <sz val="9"/>
      <name val="微软雅黑"/>
      <charset val="134"/>
    </font>
    <font>
      <b/>
      <sz val="26"/>
      <color theme="0"/>
      <name val="微软雅黑"/>
      <charset val="134"/>
    </font>
    <font>
      <sz val="26"/>
      <color theme="0"/>
      <name val="微软雅黑"/>
      <charset val="134"/>
    </font>
    <font>
      <b/>
      <sz val="11"/>
      <color theme="1"/>
      <name val="微软雅黑"/>
      <charset val="134"/>
    </font>
    <font>
      <b/>
      <sz val="11"/>
      <color rgb="FF000000"/>
      <name val="微软雅黑"/>
      <charset val="134"/>
    </font>
    <font>
      <b/>
      <sz val="11"/>
      <name val="微软雅黑"/>
      <charset val="134"/>
    </font>
    <font>
      <b/>
      <sz val="9"/>
      <color theme="1"/>
      <name val="微软雅黑"/>
      <charset val="134"/>
    </font>
    <font>
      <sz val="9"/>
      <color rgb="FF000000"/>
      <name val="微软雅黑"/>
      <charset val="134"/>
    </font>
    <font>
      <sz val="11"/>
      <name val="微软雅黑"/>
      <charset val="134"/>
    </font>
    <font>
      <sz val="11"/>
      <color theme="1"/>
      <name val="微软雅黑"/>
      <charset val="134"/>
    </font>
    <font>
      <b/>
      <sz val="12"/>
      <color theme="1"/>
      <name val="微软雅黑"/>
      <charset val="134"/>
    </font>
    <font>
      <b/>
      <sz val="9"/>
      <color rgb="FF000000"/>
      <name val="微软雅黑"/>
      <charset val="134"/>
    </font>
    <font>
      <sz val="10"/>
      <color indexed="8"/>
      <name val="微软雅黑"/>
      <charset val="134"/>
    </font>
    <font>
      <sz val="10"/>
      <color theme="1"/>
      <name val="微软雅黑"/>
      <charset val="134"/>
    </font>
    <font>
      <sz val="10"/>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9"/>
      <name val="宋体"/>
      <charset val="134"/>
    </font>
    <font>
      <b/>
      <sz val="15"/>
      <color indexed="62"/>
      <name val="宋体"/>
      <charset val="134"/>
    </font>
    <font>
      <b/>
      <sz val="13"/>
      <color indexed="62"/>
      <name val="宋体"/>
      <charset val="134"/>
    </font>
    <font>
      <b/>
      <sz val="11"/>
      <color indexed="62"/>
      <name val="宋体"/>
      <charset val="134"/>
    </font>
    <font>
      <b/>
      <sz val="18"/>
      <color indexed="62"/>
      <name val="宋体"/>
      <charset val="134"/>
    </font>
    <font>
      <sz val="11"/>
      <color indexed="60"/>
      <name val="宋体"/>
      <charset val="134"/>
    </font>
    <font>
      <sz val="12"/>
      <name val="宋体"/>
      <charset val="134"/>
    </font>
    <font>
      <sz val="9"/>
      <name val="宋体"/>
      <charset val="134"/>
    </font>
    <font>
      <sz val="10"/>
      <name val="Arial"/>
      <charset val="134"/>
    </font>
    <font>
      <sz val="11"/>
      <color indexed="17"/>
      <name val="宋体"/>
      <charset val="134"/>
    </font>
    <font>
      <b/>
      <sz val="11"/>
      <color indexed="8"/>
      <name val="宋体"/>
      <charset val="134"/>
    </font>
    <font>
      <b/>
      <sz val="11"/>
      <color indexed="52"/>
      <name val="宋体"/>
      <charset val="134"/>
    </font>
    <font>
      <b/>
      <sz val="11"/>
      <color indexed="9"/>
      <name val="宋体"/>
      <charset val="134"/>
    </font>
    <font>
      <i/>
      <sz val="11"/>
      <color indexed="23"/>
      <name val="宋体"/>
      <charset val="134"/>
    </font>
    <font>
      <sz val="11"/>
      <color indexed="10"/>
      <name val="宋体"/>
      <charset val="134"/>
    </font>
    <font>
      <sz val="11"/>
      <color indexed="52"/>
      <name val="宋体"/>
      <charset val="134"/>
    </font>
    <font>
      <sz val="8"/>
      <color theme="1"/>
      <name val="微软雅黑"/>
      <charset val="134"/>
    </font>
    <font>
      <b/>
      <sz val="11"/>
      <color indexed="63"/>
      <name val="宋体"/>
      <charset val="134"/>
    </font>
    <font>
      <sz val="11"/>
      <color indexed="62"/>
      <name val="宋体"/>
      <charset val="134"/>
    </font>
  </fonts>
  <fills count="56">
    <fill>
      <patternFill patternType="none"/>
    </fill>
    <fill>
      <patternFill patternType="gray125"/>
    </fill>
    <fill>
      <patternFill patternType="solid">
        <fgColor rgb="FF00B0F0"/>
        <bgColor indexed="64"/>
      </patternFill>
    </fill>
    <fill>
      <patternFill patternType="solid">
        <fgColor theme="0" tint="-0.499984740745262"/>
        <bgColor indexed="64"/>
      </patternFill>
    </fill>
    <fill>
      <patternFill patternType="solid">
        <fgColor indexed="9"/>
        <bgColor indexed="64"/>
      </patternFill>
    </fill>
    <fill>
      <patternFill patternType="solid">
        <fgColor rgb="FFFFC000"/>
        <bgColor indexed="64"/>
      </patternFill>
    </fill>
    <fill>
      <patternFill patternType="solid">
        <fgColor theme="0"/>
        <bgColor indexed="64"/>
      </patternFill>
    </fill>
    <fill>
      <patternFill patternType="solid">
        <fgColor rgb="FFFFFFFF"/>
        <bgColor indexed="64"/>
      </patternFill>
    </fill>
    <fill>
      <patternFill patternType="solid">
        <fgColor rgb="FFFFFF00"/>
        <bgColor indexed="64"/>
      </patternFill>
    </fill>
    <fill>
      <patternFill patternType="solid">
        <fgColor rgb="FF00B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31"/>
        <bgColor indexed="64"/>
      </patternFill>
    </fill>
    <fill>
      <patternFill patternType="solid">
        <fgColor indexed="29"/>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55"/>
        <bgColor indexed="64"/>
      </patternFill>
    </fill>
    <fill>
      <patternFill patternType="solid">
        <fgColor indexed="49"/>
        <bgColor indexed="64"/>
      </patternFill>
    </fill>
    <fill>
      <patternFill patternType="solid">
        <fgColor indexed="10"/>
        <bgColor indexed="64"/>
      </patternFill>
    </fill>
    <fill>
      <patternFill patternType="solid">
        <fgColor indexed="57"/>
        <bgColor indexed="64"/>
      </patternFill>
    </fill>
    <fill>
      <patternFill patternType="solid">
        <fgColor indexed="25"/>
        <bgColor indexed="64"/>
      </patternFill>
    </fill>
    <fill>
      <patternFill patternType="solid">
        <fgColor indexed="53"/>
        <bgColor indexed="64"/>
      </patternFill>
    </fill>
    <fill>
      <patternFill patternType="solid">
        <fgColor indexed="43"/>
        <bgColor indexed="64"/>
      </patternFill>
    </fill>
    <fill>
      <patternFill patternType="solid">
        <fgColor indexed="26"/>
        <bgColor indexed="64"/>
      </patternFill>
    </fill>
  </fills>
  <borders count="22">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ck">
        <color indexed="49"/>
      </bottom>
      <diagonal/>
    </border>
    <border>
      <left/>
      <right/>
      <top/>
      <bottom style="thick">
        <color indexed="44"/>
      </bottom>
      <diagonal/>
    </border>
    <border>
      <left/>
      <right/>
      <top/>
      <bottom style="medium">
        <color indexed="44"/>
      </bottom>
      <diagonal/>
    </border>
    <border>
      <left style="thin">
        <color indexed="23"/>
      </left>
      <right style="thin">
        <color indexed="23"/>
      </right>
      <top style="thin">
        <color indexed="23"/>
      </top>
      <bottom style="thin">
        <color indexed="23"/>
      </bottom>
      <diagonal/>
    </border>
    <border>
      <left/>
      <right/>
      <top style="thin">
        <color indexed="49"/>
      </top>
      <bottom style="double">
        <color indexed="49"/>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s>
  <cellStyleXfs count="92">
    <xf numFmtId="176"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6" fillId="10" borderId="5" applyNumberFormat="0" applyFont="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6" applyNumberFormat="0" applyFill="0" applyAlignment="0" applyProtection="0">
      <alignment vertical="center"/>
    </xf>
    <xf numFmtId="0" fontId="32" fillId="0" borderId="6" applyNumberFormat="0" applyFill="0" applyAlignment="0" applyProtection="0">
      <alignment vertical="center"/>
    </xf>
    <xf numFmtId="0" fontId="33" fillId="0" borderId="7" applyNumberFormat="0" applyFill="0" applyAlignment="0" applyProtection="0">
      <alignment vertical="center"/>
    </xf>
    <xf numFmtId="0" fontId="33" fillId="0" borderId="0" applyNumberFormat="0" applyFill="0" applyBorder="0" applyAlignment="0" applyProtection="0">
      <alignment vertical="center"/>
    </xf>
    <xf numFmtId="0" fontId="34" fillId="11" borderId="8" applyNumberFormat="0" applyAlignment="0" applyProtection="0">
      <alignment vertical="center"/>
    </xf>
    <xf numFmtId="0" fontId="35" fillId="12" borderId="9" applyNumberFormat="0" applyAlignment="0" applyProtection="0">
      <alignment vertical="center"/>
    </xf>
    <xf numFmtId="0" fontId="36" fillId="12" borderId="8" applyNumberFormat="0" applyAlignment="0" applyProtection="0">
      <alignment vertical="center"/>
    </xf>
    <xf numFmtId="0" fontId="37" fillId="13" borderId="10" applyNumberFormat="0" applyAlignment="0" applyProtection="0">
      <alignment vertical="center"/>
    </xf>
    <xf numFmtId="0" fontId="38" fillId="0" borderId="11" applyNumberFormat="0" applyFill="0" applyAlignment="0" applyProtection="0">
      <alignment vertical="center"/>
    </xf>
    <xf numFmtId="0" fontId="39" fillId="0" borderId="12" applyNumberFormat="0" applyFill="0" applyAlignment="0" applyProtection="0">
      <alignment vertical="center"/>
    </xf>
    <xf numFmtId="0" fontId="40" fillId="14" borderId="0" applyNumberFormat="0" applyBorder="0" applyAlignment="0" applyProtection="0">
      <alignment vertical="center"/>
    </xf>
    <xf numFmtId="0" fontId="41" fillId="15" borderId="0" applyNumberFormat="0" applyBorder="0" applyAlignment="0" applyProtection="0">
      <alignment vertical="center"/>
    </xf>
    <xf numFmtId="0" fontId="42" fillId="16" borderId="0" applyNumberFormat="0" applyBorder="0" applyAlignment="0" applyProtection="0">
      <alignment vertical="center"/>
    </xf>
    <xf numFmtId="0" fontId="43" fillId="17" borderId="0" applyNumberFormat="0" applyBorder="0" applyAlignment="0" applyProtection="0">
      <alignment vertical="center"/>
    </xf>
    <xf numFmtId="0" fontId="44" fillId="18" borderId="0" applyNumberFormat="0" applyBorder="0" applyAlignment="0" applyProtection="0">
      <alignment vertical="center"/>
    </xf>
    <xf numFmtId="0" fontId="44" fillId="19" borderId="0" applyNumberFormat="0" applyBorder="0" applyAlignment="0" applyProtection="0">
      <alignment vertical="center"/>
    </xf>
    <xf numFmtId="0" fontId="43" fillId="20" borderId="0" applyNumberFormat="0" applyBorder="0" applyAlignment="0" applyProtection="0">
      <alignment vertical="center"/>
    </xf>
    <xf numFmtId="0" fontId="43" fillId="21" borderId="0" applyNumberFormat="0" applyBorder="0" applyAlignment="0" applyProtection="0">
      <alignment vertical="center"/>
    </xf>
    <xf numFmtId="0" fontId="44" fillId="22" borderId="0" applyNumberFormat="0" applyBorder="0" applyAlignment="0" applyProtection="0">
      <alignment vertical="center"/>
    </xf>
    <xf numFmtId="0" fontId="44" fillId="23" borderId="0" applyNumberFormat="0" applyBorder="0" applyAlignment="0" applyProtection="0">
      <alignment vertical="center"/>
    </xf>
    <xf numFmtId="0" fontId="43" fillId="24" borderId="0" applyNumberFormat="0" applyBorder="0" applyAlignment="0" applyProtection="0">
      <alignment vertical="center"/>
    </xf>
    <xf numFmtId="0" fontId="43" fillId="25" borderId="0" applyNumberFormat="0" applyBorder="0" applyAlignment="0" applyProtection="0">
      <alignment vertical="center"/>
    </xf>
    <xf numFmtId="0" fontId="44" fillId="26" borderId="0" applyNumberFormat="0" applyBorder="0" applyAlignment="0" applyProtection="0">
      <alignment vertical="center"/>
    </xf>
    <xf numFmtId="0" fontId="44" fillId="27" borderId="0" applyNumberFormat="0" applyBorder="0" applyAlignment="0" applyProtection="0">
      <alignment vertical="center"/>
    </xf>
    <xf numFmtId="0" fontId="43" fillId="28" borderId="0" applyNumberFormat="0" applyBorder="0" applyAlignment="0" applyProtection="0">
      <alignment vertical="center"/>
    </xf>
    <xf numFmtId="0" fontId="43" fillId="29" borderId="0" applyNumberFormat="0" applyBorder="0" applyAlignment="0" applyProtection="0">
      <alignment vertical="center"/>
    </xf>
    <xf numFmtId="0" fontId="44" fillId="30" borderId="0" applyNumberFormat="0" applyBorder="0" applyAlignment="0" applyProtection="0">
      <alignment vertical="center"/>
    </xf>
    <xf numFmtId="0" fontId="44" fillId="31" borderId="0" applyNumberFormat="0" applyBorder="0" applyAlignment="0" applyProtection="0">
      <alignment vertical="center"/>
    </xf>
    <xf numFmtId="0" fontId="43" fillId="32" borderId="0" applyNumberFormat="0" applyBorder="0" applyAlignment="0" applyProtection="0">
      <alignment vertical="center"/>
    </xf>
    <xf numFmtId="0" fontId="43" fillId="33" borderId="0" applyNumberFormat="0" applyBorder="0" applyAlignment="0" applyProtection="0">
      <alignment vertical="center"/>
    </xf>
    <xf numFmtId="0" fontId="44" fillId="34" borderId="0" applyNumberFormat="0" applyBorder="0" applyAlignment="0" applyProtection="0">
      <alignment vertical="center"/>
    </xf>
    <xf numFmtId="0" fontId="44" fillId="35" borderId="0" applyNumberFormat="0" applyBorder="0" applyAlignment="0" applyProtection="0">
      <alignment vertical="center"/>
    </xf>
    <xf numFmtId="0" fontId="43" fillId="36" borderId="0" applyNumberFormat="0" applyBorder="0" applyAlignment="0" applyProtection="0">
      <alignment vertical="center"/>
    </xf>
    <xf numFmtId="0" fontId="43" fillId="37" borderId="0" applyNumberFormat="0" applyBorder="0" applyAlignment="0" applyProtection="0">
      <alignment vertical="center"/>
    </xf>
    <xf numFmtId="0" fontId="44" fillId="38" borderId="0" applyNumberFormat="0" applyBorder="0" applyAlignment="0" applyProtection="0">
      <alignment vertical="center"/>
    </xf>
    <xf numFmtId="0" fontId="44" fillId="39" borderId="0" applyNumberFormat="0" applyBorder="0" applyAlignment="0" applyProtection="0">
      <alignment vertical="center"/>
    </xf>
    <xf numFmtId="0" fontId="43" fillId="40" borderId="0" applyNumberFormat="0" applyBorder="0" applyAlignment="0" applyProtection="0">
      <alignment vertical="center"/>
    </xf>
    <xf numFmtId="176" fontId="0" fillId="41" borderId="0" applyNumberFormat="0" applyBorder="0" applyAlignment="0" applyProtection="0">
      <alignment vertical="center"/>
    </xf>
    <xf numFmtId="176" fontId="0" fillId="42" borderId="0" applyNumberFormat="0" applyBorder="0" applyAlignment="0" applyProtection="0">
      <alignment vertical="center"/>
    </xf>
    <xf numFmtId="176" fontId="0" fillId="43" borderId="0" applyNumberFormat="0" applyBorder="0" applyAlignment="0" applyProtection="0">
      <alignment vertical="center"/>
    </xf>
    <xf numFmtId="176" fontId="0" fillId="44" borderId="0" applyNumberFormat="0" applyBorder="0" applyAlignment="0" applyProtection="0">
      <alignment vertical="center"/>
    </xf>
    <xf numFmtId="176" fontId="0" fillId="45" borderId="0" applyNumberFormat="0" applyBorder="0" applyAlignment="0" applyProtection="0">
      <alignment vertical="center"/>
    </xf>
    <xf numFmtId="176" fontId="0" fillId="46" borderId="0" applyNumberFormat="0" applyBorder="0" applyAlignment="0" applyProtection="0">
      <alignment vertical="center"/>
    </xf>
    <xf numFmtId="176" fontId="0" fillId="47" borderId="0" applyNumberFormat="0" applyBorder="0" applyAlignment="0" applyProtection="0">
      <alignment vertical="center"/>
    </xf>
    <xf numFmtId="176" fontId="45" fillId="47" borderId="0" applyNumberFormat="0" applyBorder="0" applyAlignment="0" applyProtection="0">
      <alignment vertical="center"/>
    </xf>
    <xf numFmtId="176" fontId="45" fillId="42" borderId="0" applyNumberFormat="0" applyBorder="0" applyAlignment="0" applyProtection="0">
      <alignment vertical="center"/>
    </xf>
    <xf numFmtId="176" fontId="45" fillId="43" borderId="0" applyNumberFormat="0" applyBorder="0" applyAlignment="0" applyProtection="0">
      <alignment vertical="center"/>
    </xf>
    <xf numFmtId="176" fontId="45" fillId="44" borderId="0" applyNumberFormat="0" applyBorder="0" applyAlignment="0" applyProtection="0">
      <alignment vertical="center"/>
    </xf>
    <xf numFmtId="176" fontId="45" fillId="46" borderId="0" applyNumberFormat="0" applyBorder="0" applyAlignment="0" applyProtection="0">
      <alignment vertical="center"/>
    </xf>
    <xf numFmtId="9" fontId="0" fillId="0" borderId="0" applyFont="0" applyFill="0" applyBorder="0" applyAlignment="0" applyProtection="0">
      <alignment vertical="center"/>
    </xf>
    <xf numFmtId="176" fontId="46" fillId="0" borderId="13" applyNumberFormat="0" applyFill="0" applyAlignment="0" applyProtection="0">
      <alignment vertical="center"/>
    </xf>
    <xf numFmtId="176" fontId="47" fillId="0" borderId="14" applyNumberFormat="0" applyFill="0" applyAlignment="0" applyProtection="0">
      <alignment vertical="center"/>
    </xf>
    <xf numFmtId="176" fontId="48" fillId="0" borderId="15" applyNumberFormat="0" applyFill="0" applyAlignment="0" applyProtection="0">
      <alignment vertical="center"/>
    </xf>
    <xf numFmtId="176" fontId="48" fillId="0" borderId="0" applyNumberFormat="0" applyFill="0" applyBorder="0" applyAlignment="0" applyProtection="0">
      <alignment vertical="center"/>
    </xf>
    <xf numFmtId="176" fontId="49" fillId="0" borderId="0" applyNumberFormat="0" applyFill="0" applyBorder="0" applyAlignment="0" applyProtection="0">
      <alignment vertical="center"/>
    </xf>
    <xf numFmtId="176" fontId="50" fillId="42" borderId="0" applyNumberFormat="0" applyBorder="0" applyAlignment="0" applyProtection="0">
      <alignment vertical="center"/>
    </xf>
    <xf numFmtId="176" fontId="0" fillId="0" borderId="0">
      <alignment vertical="center"/>
    </xf>
    <xf numFmtId="176" fontId="23" fillId="0" borderId="0">
      <alignment vertical="center"/>
    </xf>
    <xf numFmtId="176" fontId="51" fillId="0" borderId="0">
      <alignment vertical="center"/>
    </xf>
    <xf numFmtId="176" fontId="6" fillId="0" borderId="0"/>
    <xf numFmtId="176" fontId="52" fillId="0" borderId="16">
      <alignment horizontal="left" vertical="center"/>
    </xf>
    <xf numFmtId="176" fontId="6" fillId="0" borderId="0">
      <alignment vertical="center"/>
    </xf>
    <xf numFmtId="176" fontId="53" fillId="0" borderId="0"/>
    <xf numFmtId="176" fontId="54" fillId="43" borderId="0" applyNumberFormat="0" applyBorder="0" applyAlignment="0" applyProtection="0">
      <alignment vertical="center"/>
    </xf>
    <xf numFmtId="176" fontId="55" fillId="0" borderId="17" applyNumberFormat="0" applyFill="0" applyAlignment="0" applyProtection="0">
      <alignment vertical="center"/>
    </xf>
    <xf numFmtId="176" fontId="56" fillId="4" borderId="16" applyNumberFormat="0" applyAlignment="0" applyProtection="0">
      <alignment vertical="center"/>
    </xf>
    <xf numFmtId="176" fontId="57" fillId="48" borderId="18" applyNumberFormat="0" applyAlignment="0" applyProtection="0">
      <alignment vertical="center"/>
    </xf>
    <xf numFmtId="176" fontId="58" fillId="0" borderId="0" applyNumberFormat="0" applyFill="0" applyBorder="0" applyAlignment="0" applyProtection="0">
      <alignment vertical="center"/>
    </xf>
    <xf numFmtId="176" fontId="59" fillId="0" borderId="0" applyNumberFormat="0" applyFill="0" applyBorder="0" applyAlignment="0" applyProtection="0">
      <alignment vertical="center"/>
    </xf>
    <xf numFmtId="176" fontId="60" fillId="0" borderId="19" applyNumberFormat="0" applyFill="0" applyAlignment="0" applyProtection="0">
      <alignment vertical="center"/>
    </xf>
    <xf numFmtId="176" fontId="45" fillId="49" borderId="0" applyNumberFormat="0" applyBorder="0" applyAlignment="0" applyProtection="0">
      <alignment vertical="center"/>
    </xf>
    <xf numFmtId="176" fontId="45" fillId="50" borderId="0" applyNumberFormat="0" applyBorder="0" applyAlignment="0" applyProtection="0">
      <alignment vertical="center"/>
    </xf>
    <xf numFmtId="176" fontId="45" fillId="51" borderId="0" applyNumberFormat="0" applyBorder="0" applyAlignment="0" applyProtection="0">
      <alignment vertical="center"/>
    </xf>
    <xf numFmtId="176" fontId="45" fillId="52" borderId="0" applyNumberFormat="0" applyBorder="0" applyAlignment="0" applyProtection="0">
      <alignment vertical="center"/>
    </xf>
    <xf numFmtId="176" fontId="45" fillId="53" borderId="0" applyNumberFormat="0" applyBorder="0" applyAlignment="0" applyProtection="0">
      <alignment vertical="center"/>
    </xf>
    <xf numFmtId="177" fontId="61" fillId="0" borderId="1">
      <alignment horizontal="center" vertical="center" wrapText="1"/>
    </xf>
    <xf numFmtId="176" fontId="50" fillId="54" borderId="0" applyNumberFormat="0" applyBorder="0" applyAlignment="0" applyProtection="0">
      <alignment vertical="center"/>
    </xf>
    <xf numFmtId="176" fontId="62" fillId="4" borderId="20" applyNumberFormat="0" applyAlignment="0" applyProtection="0">
      <alignment vertical="center"/>
    </xf>
    <xf numFmtId="176" fontId="63" fillId="46" borderId="16" applyNumberFormat="0" applyAlignment="0" applyProtection="0">
      <alignment vertical="center"/>
    </xf>
    <xf numFmtId="176" fontId="0" fillId="55" borderId="21" applyNumberFormat="0" applyFont="0" applyAlignment="0" applyProtection="0">
      <alignment vertical="center"/>
    </xf>
  </cellStyleXfs>
  <cellXfs count="108">
    <xf numFmtId="176" fontId="0" fillId="0" borderId="0" xfId="0">
      <alignment vertical="center"/>
    </xf>
    <xf numFmtId="176" fontId="1" fillId="0" borderId="0" xfId="0" applyFont="1" applyAlignment="1">
      <alignment horizontal="center" vertical="center"/>
    </xf>
    <xf numFmtId="176" fontId="2" fillId="0" borderId="0" xfId="0" applyFont="1" applyAlignment="1">
      <alignment horizontal="center" vertical="center"/>
    </xf>
    <xf numFmtId="14" fontId="2" fillId="0" borderId="0" xfId="0" applyNumberFormat="1" applyFont="1" applyAlignment="1">
      <alignment horizontal="center" vertical="center"/>
    </xf>
    <xf numFmtId="178" fontId="2" fillId="0" borderId="0" xfId="0" applyNumberFormat="1" applyFont="1" applyAlignment="1">
      <alignment horizontal="center" vertical="center"/>
    </xf>
    <xf numFmtId="176" fontId="2" fillId="0" borderId="0" xfId="0" applyFont="1" applyAlignment="1">
      <alignment horizontal="center" vertical="center" wrapText="1"/>
    </xf>
    <xf numFmtId="176" fontId="2" fillId="0" borderId="0" xfId="0" applyFont="1" applyAlignment="1">
      <alignment horizontal="left" vertical="center" wrapText="1"/>
    </xf>
    <xf numFmtId="179" fontId="2" fillId="0" borderId="0" xfId="0" applyNumberFormat="1" applyFont="1" applyAlignment="1">
      <alignment horizontal="center" vertical="center"/>
    </xf>
    <xf numFmtId="176" fontId="3" fillId="2" borderId="0" xfId="0" applyFont="1" applyFill="1" applyAlignment="1">
      <alignment horizontal="center" vertical="center" wrapText="1"/>
    </xf>
    <xf numFmtId="176" fontId="4" fillId="3" borderId="1" xfId="0" applyFont="1" applyFill="1" applyBorder="1" applyAlignment="1">
      <alignment horizontal="center" vertical="center" wrapText="1"/>
    </xf>
    <xf numFmtId="14" fontId="4" fillId="3" borderId="1" xfId="0" applyNumberFormat="1" applyFont="1" applyFill="1" applyBorder="1" applyAlignment="1">
      <alignment horizontal="center" vertical="center" wrapText="1"/>
    </xf>
    <xf numFmtId="178" fontId="4" fillId="3" borderId="1" xfId="0" applyNumberFormat="1" applyFont="1" applyFill="1" applyBorder="1" applyAlignment="1">
      <alignment horizontal="center" vertical="center" wrapText="1"/>
    </xf>
    <xf numFmtId="176" fontId="4" fillId="3" borderId="1" xfId="0" applyFont="1" applyFill="1" applyBorder="1" applyAlignment="1">
      <alignment horizontal="left" vertical="center" wrapText="1"/>
    </xf>
    <xf numFmtId="179" fontId="4" fillId="3" borderId="1" xfId="0" applyNumberFormat="1" applyFont="1" applyFill="1" applyBorder="1" applyAlignment="1">
      <alignment horizontal="center" vertical="center" wrapText="1"/>
    </xf>
    <xf numFmtId="176" fontId="2" fillId="0" borderId="1" xfId="0" applyFont="1" applyBorder="1" applyAlignment="1">
      <alignment horizontal="center" vertical="center"/>
    </xf>
    <xf numFmtId="14" fontId="2" fillId="0" borderId="1" xfId="0" applyNumberFormat="1" applyFont="1" applyBorder="1" applyAlignment="1">
      <alignment horizontal="center" vertical="center"/>
    </xf>
    <xf numFmtId="178" fontId="2" fillId="0" borderId="1" xfId="0" applyNumberFormat="1" applyFont="1" applyBorder="1" applyAlignment="1">
      <alignment horizontal="center" vertical="center"/>
    </xf>
    <xf numFmtId="176" fontId="2" fillId="0" borderId="1" xfId="0" applyFont="1" applyBorder="1" applyAlignment="1">
      <alignment horizontal="center" vertical="center" wrapText="1"/>
    </xf>
    <xf numFmtId="176" fontId="2" fillId="0" borderId="1" xfId="0" applyFont="1" applyBorder="1" applyAlignment="1">
      <alignment horizontal="left" vertical="center" wrapText="1"/>
    </xf>
    <xf numFmtId="179" fontId="2" fillId="0" borderId="1" xfId="0" applyNumberFormat="1" applyFont="1" applyBorder="1" applyAlignment="1">
      <alignment horizontal="center" vertical="center"/>
    </xf>
    <xf numFmtId="176" fontId="5" fillId="0" borderId="1" xfId="0" applyFont="1" applyBorder="1" applyAlignment="1">
      <alignment horizontal="center" vertical="center" wrapText="1"/>
    </xf>
    <xf numFmtId="176" fontId="6" fillId="0" borderId="0" xfId="0" applyFont="1" applyAlignment="1">
      <alignment horizontal="center" vertical="center"/>
    </xf>
    <xf numFmtId="176" fontId="7" fillId="0" borderId="0" xfId="0" applyFont="1" applyAlignment="1" applyProtection="1">
      <alignment vertical="center" wrapText="1"/>
      <protection locked="0"/>
    </xf>
    <xf numFmtId="176" fontId="8" fillId="0" borderId="2" xfId="0" applyFont="1" applyBorder="1" applyAlignment="1" applyProtection="1">
      <alignment vertical="center" wrapText="1"/>
      <protection locked="0"/>
    </xf>
    <xf numFmtId="176" fontId="9" fillId="0" borderId="0" xfId="0" applyFont="1" applyBorder="1" applyAlignment="1" applyProtection="1">
      <alignment vertical="center" wrapText="1"/>
      <protection locked="0"/>
    </xf>
    <xf numFmtId="176" fontId="10" fillId="0" borderId="0" xfId="0" applyFont="1" applyAlignment="1" applyProtection="1">
      <alignment vertical="center" wrapText="1"/>
      <protection locked="0"/>
    </xf>
    <xf numFmtId="180" fontId="10" fillId="0" borderId="0" xfId="0" applyNumberFormat="1" applyFont="1" applyAlignment="1">
      <alignment horizontal="center" vertical="center" wrapText="1"/>
    </xf>
    <xf numFmtId="176" fontId="10" fillId="0" borderId="0" xfId="0" applyFont="1" applyAlignment="1">
      <alignment horizontal="center" vertical="center" wrapText="1"/>
    </xf>
    <xf numFmtId="49" fontId="10" fillId="0" borderId="0" xfId="0" applyNumberFormat="1" applyFont="1" applyAlignment="1">
      <alignment horizontal="center" vertical="center" wrapText="1"/>
    </xf>
    <xf numFmtId="14" fontId="10" fillId="0" borderId="0" xfId="0" applyNumberFormat="1" applyFont="1" applyAlignment="1">
      <alignment horizontal="center" vertical="center" wrapText="1"/>
    </xf>
    <xf numFmtId="10" fontId="10" fillId="4" borderId="0" xfId="0" applyNumberFormat="1" applyFont="1" applyFill="1" applyAlignment="1">
      <alignment horizontal="center" vertical="center" wrapText="1"/>
    </xf>
    <xf numFmtId="176" fontId="10" fillId="0" borderId="0" xfId="0" applyFont="1" applyAlignment="1">
      <alignment vertical="center" wrapText="1"/>
    </xf>
    <xf numFmtId="176" fontId="10" fillId="0" borderId="0" xfId="0" applyFont="1" applyAlignment="1">
      <alignment horizontal="left" vertical="center" wrapText="1"/>
    </xf>
    <xf numFmtId="176" fontId="11" fillId="0" borderId="0" xfId="0" applyFont="1" applyAlignment="1">
      <alignment vertical="center" wrapText="1"/>
    </xf>
    <xf numFmtId="176" fontId="7" fillId="0" borderId="0" xfId="0" applyFont="1" applyAlignment="1">
      <alignment vertical="center" wrapText="1"/>
    </xf>
    <xf numFmtId="180" fontId="12" fillId="2" borderId="1" xfId="0" applyNumberFormat="1" applyFont="1" applyFill="1" applyBorder="1" applyAlignment="1" applyProtection="1">
      <alignment horizontal="center" vertical="center" wrapText="1"/>
      <protection locked="0"/>
    </xf>
    <xf numFmtId="176" fontId="12" fillId="2" borderId="1" xfId="0" applyNumberFormat="1" applyFont="1" applyFill="1" applyBorder="1" applyAlignment="1" applyProtection="1">
      <alignment horizontal="center" vertical="center" wrapText="1"/>
      <protection locked="0"/>
    </xf>
    <xf numFmtId="180" fontId="13" fillId="2" borderId="1" xfId="0" applyNumberFormat="1" applyFont="1" applyFill="1" applyBorder="1" applyAlignment="1" applyProtection="1">
      <alignment horizontal="center" vertical="center" wrapText="1"/>
      <protection locked="0"/>
    </xf>
    <xf numFmtId="180" fontId="14" fillId="5" borderId="1" xfId="0" applyNumberFormat="1" applyFont="1" applyFill="1" applyBorder="1" applyAlignment="1" applyProtection="1">
      <alignment horizontal="center" vertical="center"/>
      <protection locked="0"/>
    </xf>
    <xf numFmtId="176" fontId="14" fillId="5" borderId="1" xfId="0" applyFont="1" applyFill="1" applyBorder="1" applyAlignment="1" applyProtection="1">
      <alignment horizontal="center" vertical="center"/>
      <protection locked="0"/>
    </xf>
    <xf numFmtId="49" fontId="14" fillId="5" borderId="1" xfId="0" applyNumberFormat="1" applyFont="1" applyFill="1" applyBorder="1" applyAlignment="1" applyProtection="1">
      <alignment horizontal="center" vertical="center"/>
      <protection locked="0"/>
    </xf>
    <xf numFmtId="14" fontId="14" fillId="5" borderId="1" xfId="0" applyNumberFormat="1" applyFont="1" applyFill="1" applyBorder="1" applyAlignment="1" applyProtection="1">
      <alignment horizontal="center" vertical="center"/>
      <protection locked="0"/>
    </xf>
    <xf numFmtId="176" fontId="15" fillId="5" borderId="1" xfId="0" applyFont="1" applyFill="1" applyBorder="1" applyAlignment="1" applyProtection="1">
      <alignment horizontal="center" vertical="center"/>
      <protection locked="0"/>
    </xf>
    <xf numFmtId="176" fontId="8" fillId="5" borderId="1" xfId="0" applyFont="1" applyFill="1" applyBorder="1" applyAlignment="1" applyProtection="1">
      <alignment horizontal="center" vertical="center" wrapText="1"/>
      <protection locked="0"/>
    </xf>
    <xf numFmtId="176" fontId="14" fillId="5" borderId="1" xfId="0" applyFont="1" applyFill="1" applyBorder="1" applyAlignment="1" applyProtection="1">
      <alignment horizontal="center" vertical="center" wrapText="1"/>
      <protection locked="0"/>
    </xf>
    <xf numFmtId="176" fontId="16" fillId="5" borderId="1" xfId="0" applyFont="1" applyFill="1" applyBorder="1" applyAlignment="1" applyProtection="1">
      <alignment horizontal="center" vertical="center" wrapText="1"/>
      <protection locked="0"/>
    </xf>
    <xf numFmtId="180" fontId="2" fillId="0" borderId="1" xfId="0" applyNumberFormat="1" applyFont="1" applyFill="1" applyBorder="1" applyAlignment="1" applyProtection="1">
      <alignment horizontal="center" vertical="center"/>
      <protection locked="0"/>
    </xf>
    <xf numFmtId="176" fontId="17" fillId="0" borderId="1" xfId="0" applyFont="1" applyFill="1" applyBorder="1" applyAlignment="1" applyProtection="1">
      <alignment horizontal="center" vertical="center"/>
      <protection locked="0"/>
    </xf>
    <xf numFmtId="176" fontId="10" fillId="0" borderId="1" xfId="0" applyFont="1" applyBorder="1" applyAlignment="1">
      <alignment horizontal="center" vertical="center" wrapText="1"/>
    </xf>
    <xf numFmtId="49" fontId="17" fillId="0" borderId="1" xfId="0" applyNumberFormat="1" applyFont="1" applyFill="1" applyBorder="1" applyAlignment="1" applyProtection="1">
      <alignment horizontal="center" vertical="center"/>
      <protection locked="0"/>
    </xf>
    <xf numFmtId="14" fontId="10" fillId="0" borderId="1" xfId="0" applyNumberFormat="1" applyFont="1" applyBorder="1" applyAlignment="1">
      <alignment horizontal="center" vertical="center" wrapText="1"/>
    </xf>
    <xf numFmtId="14" fontId="10" fillId="6" borderId="1" xfId="0" applyNumberFormat="1" applyFont="1" applyFill="1" applyBorder="1" applyAlignment="1">
      <alignment horizontal="center" vertical="center" wrapText="1"/>
    </xf>
    <xf numFmtId="176" fontId="9" fillId="0" borderId="1" xfId="0" applyFont="1" applyFill="1" applyBorder="1" applyAlignment="1" applyProtection="1">
      <alignment horizontal="center" vertical="center" wrapText="1"/>
      <protection locked="0"/>
    </xf>
    <xf numFmtId="176" fontId="10" fillId="0" borderId="1" xfId="0" applyFont="1" applyBorder="1" applyAlignment="1">
      <alignment vertical="center" wrapText="1"/>
    </xf>
    <xf numFmtId="176" fontId="2" fillId="0" borderId="1" xfId="0" applyFont="1" applyBorder="1" applyAlignment="1" applyProtection="1">
      <alignment horizontal="center" vertical="center" wrapText="1"/>
      <protection locked="0"/>
    </xf>
    <xf numFmtId="176" fontId="2" fillId="0" borderId="1" xfId="0" applyFont="1" applyFill="1" applyBorder="1" applyAlignment="1" applyProtection="1">
      <alignment horizontal="center" vertical="center"/>
      <protection locked="0"/>
    </xf>
    <xf numFmtId="176" fontId="11" fillId="0" borderId="1" xfId="0" applyFont="1" applyBorder="1" applyAlignment="1">
      <alignment horizontal="left" vertical="center" wrapText="1"/>
    </xf>
    <xf numFmtId="176" fontId="2" fillId="0" borderId="1" xfId="0" applyFont="1" applyBorder="1" applyAlignment="1" applyProtection="1">
      <alignment horizontal="left" vertical="center" wrapText="1"/>
      <protection locked="0"/>
    </xf>
    <xf numFmtId="176" fontId="2" fillId="0" borderId="1" xfId="0" applyFont="1" applyBorder="1" applyAlignment="1" applyProtection="1">
      <alignment horizontal="center" vertical="center"/>
      <protection locked="0"/>
    </xf>
    <xf numFmtId="49" fontId="2" fillId="0" borderId="1" xfId="0" applyNumberFormat="1" applyFont="1" applyBorder="1" applyAlignment="1" applyProtection="1">
      <alignment horizontal="center" vertical="center"/>
      <protection locked="0"/>
    </xf>
    <xf numFmtId="176" fontId="10" fillId="0" borderId="1" xfId="0" applyFont="1" applyBorder="1" applyAlignment="1" applyProtection="1">
      <alignment horizontal="center" vertical="center" wrapText="1"/>
      <protection locked="0"/>
    </xf>
    <xf numFmtId="176" fontId="11" fillId="0" borderId="1" xfId="0" applyFont="1" applyBorder="1" applyAlignment="1" applyProtection="1">
      <alignment horizontal="center" vertical="center" wrapText="1"/>
      <protection locked="0"/>
    </xf>
    <xf numFmtId="10" fontId="10" fillId="0" borderId="1" xfId="0" applyNumberFormat="1" applyFont="1" applyBorder="1" applyAlignment="1" applyProtection="1">
      <alignment horizontal="center" vertical="center" wrapText="1"/>
      <protection locked="0"/>
    </xf>
    <xf numFmtId="49" fontId="10" fillId="0" borderId="1" xfId="0" applyNumberFormat="1" applyFont="1" applyBorder="1" applyAlignment="1">
      <alignment horizontal="center" vertical="center" wrapText="1"/>
    </xf>
    <xf numFmtId="14" fontId="7" fillId="0" borderId="1" xfId="0" applyNumberFormat="1" applyFont="1" applyFill="1" applyBorder="1" applyAlignment="1">
      <alignment horizontal="center" vertical="center" wrapText="1"/>
    </xf>
    <xf numFmtId="10" fontId="10" fillId="4" borderId="1" xfId="0" applyNumberFormat="1" applyFont="1" applyFill="1" applyBorder="1" applyAlignment="1">
      <alignment horizontal="center" vertical="center" wrapText="1"/>
    </xf>
    <xf numFmtId="176" fontId="10" fillId="0" borderId="1" xfId="0" applyFont="1" applyBorder="1" applyAlignment="1">
      <alignment horizontal="left" vertical="center" wrapText="1"/>
    </xf>
    <xf numFmtId="176" fontId="11" fillId="0" borderId="1" xfId="0" applyFont="1" applyBorder="1" applyAlignment="1">
      <alignment vertical="center" wrapText="1"/>
    </xf>
    <xf numFmtId="176" fontId="18" fillId="0" borderId="1" xfId="0" applyFont="1" applyBorder="1" applyAlignment="1">
      <alignment vertical="center" wrapText="1"/>
    </xf>
    <xf numFmtId="14" fontId="7" fillId="0" borderId="1" xfId="0" applyNumberFormat="1" applyFont="1" applyBorder="1" applyAlignment="1">
      <alignment horizontal="center" vertical="center" wrapText="1"/>
    </xf>
    <xf numFmtId="14" fontId="7" fillId="6" borderId="1" xfId="0" applyNumberFormat="1" applyFont="1" applyFill="1" applyBorder="1" applyAlignment="1">
      <alignment horizontal="center" vertical="center" wrapText="1"/>
    </xf>
    <xf numFmtId="176" fontId="19" fillId="0" borderId="1" xfId="0" applyFont="1" applyBorder="1" applyAlignment="1">
      <alignment horizontal="left" vertical="center" wrapText="1"/>
    </xf>
    <xf numFmtId="176" fontId="7" fillId="0" borderId="1" xfId="0" applyFont="1" applyFill="1" applyBorder="1" applyAlignment="1">
      <alignment vertical="center" wrapText="1"/>
    </xf>
    <xf numFmtId="176" fontId="7" fillId="0" borderId="1" xfId="0" applyFont="1" applyBorder="1" applyAlignment="1">
      <alignment vertical="center" wrapText="1"/>
    </xf>
    <xf numFmtId="176" fontId="7" fillId="0" borderId="1" xfId="0" applyFont="1" applyBorder="1" applyAlignment="1">
      <alignment horizontal="left" vertical="center" wrapText="1"/>
    </xf>
    <xf numFmtId="176" fontId="20" fillId="0" borderId="1" xfId="0" applyFont="1" applyBorder="1" applyAlignment="1">
      <alignment horizontal="left" vertical="center" wrapText="1"/>
    </xf>
    <xf numFmtId="176" fontId="7" fillId="0" borderId="1" xfId="0" applyFont="1" applyFill="1" applyBorder="1" applyAlignment="1">
      <alignment horizontal="center" vertical="center" wrapText="1"/>
    </xf>
    <xf numFmtId="176" fontId="20" fillId="0" borderId="1" xfId="0" applyFont="1" applyFill="1" applyBorder="1" applyAlignment="1">
      <alignment horizontal="left" vertical="center" wrapText="1"/>
    </xf>
    <xf numFmtId="176" fontId="21" fillId="0" borderId="1" xfId="0" applyFont="1" applyFill="1" applyBorder="1" applyAlignment="1">
      <alignment horizontal="left" vertical="center" wrapText="1"/>
    </xf>
    <xf numFmtId="176" fontId="14" fillId="0" borderId="1" xfId="0" applyFont="1" applyFill="1" applyBorder="1" applyAlignment="1">
      <alignment horizontal="left" vertical="center" wrapText="1"/>
    </xf>
    <xf numFmtId="49" fontId="18" fillId="0" borderId="1" xfId="0" applyNumberFormat="1" applyFont="1" applyBorder="1" applyAlignment="1">
      <alignment horizontal="center" vertical="center" wrapText="1"/>
    </xf>
    <xf numFmtId="176" fontId="18" fillId="0" borderId="1" xfId="0" applyFont="1" applyBorder="1" applyAlignment="1">
      <alignment horizontal="left" vertical="center" wrapText="1"/>
    </xf>
    <xf numFmtId="176" fontId="18" fillId="0" borderId="1" xfId="0" applyFont="1" applyBorder="1" applyAlignment="1">
      <alignment horizontal="center" vertical="center" wrapText="1"/>
    </xf>
    <xf numFmtId="180" fontId="18" fillId="0" borderId="3" xfId="0" applyNumberFormat="1" applyFont="1" applyBorder="1" applyAlignment="1" applyProtection="1">
      <alignment horizontal="center" vertical="center"/>
      <protection locked="0"/>
    </xf>
    <xf numFmtId="176" fontId="18" fillId="0" borderId="3" xfId="0" applyFont="1" applyBorder="1" applyAlignment="1">
      <alignment horizontal="center" vertical="center" wrapText="1"/>
    </xf>
    <xf numFmtId="49" fontId="18" fillId="0" borderId="3" xfId="0" applyNumberFormat="1" applyFont="1" applyBorder="1" applyAlignment="1">
      <alignment horizontal="center" vertical="center" wrapText="1"/>
    </xf>
    <xf numFmtId="14" fontId="18" fillId="0" borderId="3" xfId="0" applyNumberFormat="1" applyFont="1" applyBorder="1" applyAlignment="1">
      <alignment horizontal="center" vertical="center" wrapText="1"/>
    </xf>
    <xf numFmtId="10" fontId="18" fillId="7" borderId="3" xfId="0" applyNumberFormat="1" applyFont="1" applyFill="1" applyBorder="1" applyAlignment="1">
      <alignment horizontal="center" vertical="center" wrapText="1"/>
    </xf>
    <xf numFmtId="176" fontId="18" fillId="0" borderId="3" xfId="0" applyFont="1" applyBorder="1" applyAlignment="1">
      <alignment vertical="center" wrapText="1"/>
    </xf>
    <xf numFmtId="176" fontId="22" fillId="8" borderId="3" xfId="0" applyFont="1" applyFill="1" applyBorder="1" applyAlignment="1">
      <alignment horizontal="center" vertical="center" wrapText="1"/>
    </xf>
    <xf numFmtId="176" fontId="18" fillId="0" borderId="3" xfId="0" applyFont="1" applyBorder="1" applyAlignment="1">
      <alignment horizontal="left" vertical="center" wrapText="1"/>
    </xf>
    <xf numFmtId="176" fontId="22" fillId="9" borderId="3" xfId="0" applyFont="1" applyFill="1" applyBorder="1" applyAlignment="1">
      <alignment horizontal="center" vertical="center" wrapText="1"/>
    </xf>
    <xf numFmtId="176" fontId="23" fillId="0" borderId="1" xfId="0" applyFont="1" applyBorder="1" applyAlignment="1">
      <alignment horizontal="center" vertical="center" wrapText="1"/>
    </xf>
    <xf numFmtId="14" fontId="23" fillId="0" borderId="1" xfId="0" applyNumberFormat="1" applyFont="1" applyBorder="1" applyAlignment="1">
      <alignment horizontal="center" vertical="center" wrapText="1"/>
    </xf>
    <xf numFmtId="176" fontId="20" fillId="0" borderId="1" xfId="0" applyFont="1" applyBorder="1" applyAlignment="1" applyProtection="1">
      <alignment horizontal="center" vertical="center"/>
      <protection locked="0"/>
    </xf>
    <xf numFmtId="176" fontId="7" fillId="0" borderId="1" xfId="0" applyFont="1" applyBorder="1" applyAlignment="1">
      <alignment horizontal="center" vertical="center" wrapText="1"/>
    </xf>
    <xf numFmtId="176" fontId="24" fillId="0" borderId="1" xfId="0" applyFont="1" applyBorder="1" applyAlignment="1">
      <alignment horizontal="center" vertical="center" wrapText="1"/>
    </xf>
    <xf numFmtId="176" fontId="10" fillId="0" borderId="4" xfId="0" applyFont="1" applyBorder="1" applyAlignment="1">
      <alignment horizontal="center" vertical="center" wrapText="1"/>
    </xf>
    <xf numFmtId="49" fontId="10" fillId="0" borderId="4" xfId="0" applyNumberFormat="1" applyFont="1" applyBorder="1" applyAlignment="1">
      <alignment horizontal="center" vertical="center" wrapText="1"/>
    </xf>
    <xf numFmtId="14" fontId="10" fillId="0" borderId="4" xfId="0" applyNumberFormat="1" applyFont="1" applyBorder="1" applyAlignment="1">
      <alignment horizontal="center" vertical="center" wrapText="1"/>
    </xf>
    <xf numFmtId="10" fontId="10" fillId="4" borderId="4" xfId="0" applyNumberFormat="1" applyFont="1" applyFill="1" applyBorder="1" applyAlignment="1">
      <alignment horizontal="center" vertical="center" wrapText="1"/>
    </xf>
    <xf numFmtId="176" fontId="10" fillId="0" borderId="4" xfId="0" applyFont="1" applyBorder="1" applyAlignment="1">
      <alignment vertical="center" wrapText="1"/>
    </xf>
    <xf numFmtId="176" fontId="10" fillId="0" borderId="4" xfId="0" applyFont="1" applyBorder="1" applyAlignment="1">
      <alignment horizontal="left" vertical="center" wrapText="1"/>
    </xf>
    <xf numFmtId="14" fontId="24" fillId="0" borderId="1" xfId="0" applyNumberFormat="1" applyFont="1" applyBorder="1" applyAlignment="1">
      <alignment horizontal="center" vertical="center"/>
    </xf>
    <xf numFmtId="176" fontId="25" fillId="0" borderId="1" xfId="0" applyFont="1" applyBorder="1" applyAlignment="1">
      <alignment vertical="center" wrapText="1"/>
    </xf>
    <xf numFmtId="176" fontId="24" fillId="0" borderId="1" xfId="0" applyFont="1" applyBorder="1" applyAlignment="1">
      <alignment vertical="center" wrapText="1"/>
    </xf>
    <xf numFmtId="176" fontId="24" fillId="0" borderId="1" xfId="0" applyFont="1" applyBorder="1" applyAlignment="1">
      <alignment horizontal="left" vertical="center" wrapText="1"/>
    </xf>
    <xf numFmtId="14" fontId="24" fillId="0" borderId="1" xfId="0" applyNumberFormat="1" applyFont="1" applyBorder="1" applyAlignment="1">
      <alignment horizontal="center" vertical="center" wrapText="1"/>
    </xf>
  </cellXfs>
  <cellStyles count="9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强调文字颜色 1 2" xfId="49"/>
    <cellStyle name="20% - 强调文字颜色 2 2" xfId="50"/>
    <cellStyle name="20% - 强调文字颜色 3 2" xfId="51"/>
    <cellStyle name="20% - 强调文字颜色 4 2" xfId="52"/>
    <cellStyle name="20% - 强调文字颜色 5 2" xfId="53"/>
    <cellStyle name="20% - 强调文字颜色 6 2" xfId="54"/>
    <cellStyle name="40% - 强调文字颜色 1 2" xfId="55"/>
    <cellStyle name="60% - 强调文字颜色 1 2" xfId="56"/>
    <cellStyle name="60% - 强调文字颜色 2 2" xfId="57"/>
    <cellStyle name="60% - 强调文字颜色 3 2" xfId="58"/>
    <cellStyle name="60% - 强调文字颜色 4 2" xfId="59"/>
    <cellStyle name="60% - 强调文字颜色 6 2" xfId="60"/>
    <cellStyle name="百分比 2" xfId="61"/>
    <cellStyle name="标题 1 2" xfId="62"/>
    <cellStyle name="标题 2 2" xfId="63"/>
    <cellStyle name="标题 3 2" xfId="64"/>
    <cellStyle name="标题 4 2" xfId="65"/>
    <cellStyle name="标题 5" xfId="66"/>
    <cellStyle name="差 2" xfId="67"/>
    <cellStyle name="常规 10" xfId="68"/>
    <cellStyle name="常规 11" xfId="69"/>
    <cellStyle name="常规 13" xfId="70"/>
    <cellStyle name="常规 2" xfId="71"/>
    <cellStyle name="常规 2 2" xfId="72"/>
    <cellStyle name="常规 36" xfId="73"/>
    <cellStyle name="常规 4 28" xfId="74"/>
    <cellStyle name="好 2" xfId="75"/>
    <cellStyle name="汇总 2" xfId="76"/>
    <cellStyle name="计算 2" xfId="77"/>
    <cellStyle name="检查单元格 2" xfId="78"/>
    <cellStyle name="解释性文本 2" xfId="79"/>
    <cellStyle name="警告文本 2" xfId="80"/>
    <cellStyle name="链接单元格 2" xfId="81"/>
    <cellStyle name="强调文字颜色 1 2" xfId="82"/>
    <cellStyle name="强调文字颜色 2 2" xfId="83"/>
    <cellStyle name="强调文字颜色 3 2" xfId="84"/>
    <cellStyle name="强调文字颜色 4 2" xfId="85"/>
    <cellStyle name="强调文字颜色 6 2" xfId="86"/>
    <cellStyle name="日期" xfId="87"/>
    <cellStyle name="适中 2" xfId="88"/>
    <cellStyle name="输出 2" xfId="89"/>
    <cellStyle name="输入 2" xfId="90"/>
    <cellStyle name="注释 2" xfId="91"/>
  </cellStyles>
  <dxfs count="4">
    <dxf>
      <font>
        <b val="1"/>
        <i val="0"/>
      </font>
      <fill>
        <patternFill patternType="solid">
          <bgColor rgb="FFFFFF00"/>
        </patternFill>
      </fill>
    </dxf>
    <dxf>
      <font>
        <b val="1"/>
        <i val="0"/>
      </font>
      <fill>
        <patternFill patternType="solid">
          <bgColor rgb="FF00B050"/>
        </patternFill>
      </fill>
    </dxf>
    <dxf>
      <font>
        <color rgb="FF9C0006"/>
      </font>
      <fill>
        <patternFill patternType="solid">
          <bgColor rgb="FFFFC7CE"/>
        </patternFill>
      </fill>
    </dxf>
    <dxf>
      <font>
        <b val="1"/>
        <i val="0"/>
        <color auto="1"/>
      </font>
      <fill>
        <patternFill patternType="solid">
          <bgColor theme="6" tint="-0.24994659260841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4" dbFileVersion="0" changeLogVersion="0">
    <open main="74" threadCnt="1"/>
    <sheetInfos>
      <sheetInfo cellCmpFml="4" sheetStid="3">
        <open main="8" threadCnt="1"/>
      </sheetInfo>
      <sheetInfo cellCmpFml="0" sheetStid="11">
        <open main="1" threadCnt="1"/>
      </sheetInfo>
    </sheetInfos>
  </bookInfo>
</woInfos>
</file>

<file path=xl/_rels/workbook.xml.rels><?xml version="1.0" encoding="UTF-8" standalone="yes"?>
<Relationships xmlns="http://schemas.openxmlformats.org/package/2006/relationships"><Relationship Id="rId8" Type="http://www.wps.cn/officeDocument/2023/relationships/woinfos" Target="woinfos.xml"/><Relationship Id="rId7" Type="http://schemas.openxmlformats.org/officeDocument/2006/relationships/styles" Target="styles.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Y162"/>
  <sheetViews>
    <sheetView tabSelected="1" zoomScale="80" zoomScaleNormal="80" topLeftCell="Q1" workbookViewId="0">
      <pane ySplit="2" topLeftCell="A64" activePane="bottomLeft" state="frozen"/>
      <selection/>
      <selection pane="bottomLeft" activeCell="Q64" sqref="Q64"/>
    </sheetView>
  </sheetViews>
  <sheetFormatPr defaultColWidth="9" defaultRowHeight="33" customHeight="1"/>
  <cols>
    <col min="1" max="1" width="5.88333333333333" style="26" customWidth="1"/>
    <col min="2" max="2" width="8.88333333333333" style="27" customWidth="1"/>
    <col min="3" max="3" width="11.1333333333333" style="27" customWidth="1"/>
    <col min="4" max="4" width="9.5" style="28" customWidth="1"/>
    <col min="5" max="8" width="13.6333333333333" style="29" customWidth="1"/>
    <col min="9" max="9" width="13.6333333333333" style="28" customWidth="1"/>
    <col min="10" max="10" width="10.1333333333333" style="27" customWidth="1"/>
    <col min="11" max="11" width="8.88333333333333" style="30" customWidth="1"/>
    <col min="12" max="12" width="56.8833333333333" style="31" customWidth="1"/>
    <col min="13" max="13" width="11.25" style="31" customWidth="1"/>
    <col min="14" max="14" width="9.5" style="27" customWidth="1"/>
    <col min="15" max="15" width="11.25" style="27" customWidth="1"/>
    <col min="16" max="16" width="14.75" style="27" customWidth="1"/>
    <col min="17" max="17" width="12.8833333333333" style="31" customWidth="1"/>
    <col min="18" max="18" width="54.3833333333333" style="31" customWidth="1"/>
    <col min="19" max="19" width="52.5" style="32" customWidth="1"/>
    <col min="20" max="20" width="15.75" style="27" customWidth="1"/>
    <col min="21" max="21" width="8.63333333333333" style="27" customWidth="1"/>
    <col min="22" max="22" width="13.75" style="27" customWidth="1"/>
    <col min="23" max="23" width="11.1333333333333" style="27" customWidth="1"/>
    <col min="24" max="24" width="15.1333333333333" style="27" customWidth="1"/>
    <col min="25" max="25" width="33.75" style="33" customWidth="1"/>
    <col min="26" max="16384" width="9" style="34"/>
  </cols>
  <sheetData>
    <row r="1" s="22" customFormat="1" customHeight="1" spans="1:25">
      <c r="A1" s="35" t="s">
        <v>0</v>
      </c>
      <c r="B1" s="35"/>
      <c r="C1" s="35"/>
      <c r="D1" s="35"/>
      <c r="E1" s="35"/>
      <c r="F1" s="35"/>
      <c r="G1" s="35"/>
      <c r="H1" s="35"/>
      <c r="I1" s="36"/>
      <c r="J1" s="35"/>
      <c r="K1" s="35"/>
      <c r="L1" s="35"/>
      <c r="M1" s="35"/>
      <c r="N1" s="35"/>
      <c r="O1" s="35"/>
      <c r="P1" s="35"/>
      <c r="Q1" s="35"/>
      <c r="R1" s="35"/>
      <c r="S1" s="35"/>
      <c r="T1" s="37"/>
      <c r="U1" s="35"/>
      <c r="V1" s="35"/>
      <c r="W1" s="35"/>
      <c r="X1" s="35"/>
      <c r="Y1" s="35"/>
    </row>
    <row r="2" s="23" customFormat="1" customHeight="1" spans="1:25">
      <c r="A2" s="38" t="s">
        <v>1</v>
      </c>
      <c r="B2" s="39" t="s">
        <v>2</v>
      </c>
      <c r="C2" s="39" t="s">
        <v>3</v>
      </c>
      <c r="D2" s="40" t="s">
        <v>4</v>
      </c>
      <c r="E2" s="41" t="s">
        <v>5</v>
      </c>
      <c r="F2" s="39" t="s">
        <v>6</v>
      </c>
      <c r="G2" s="42" t="s">
        <v>7</v>
      </c>
      <c r="H2" s="39" t="s">
        <v>8</v>
      </c>
      <c r="I2" s="40" t="s">
        <v>9</v>
      </c>
      <c r="J2" s="39" t="s">
        <v>10</v>
      </c>
      <c r="K2" s="43" t="s">
        <v>11</v>
      </c>
      <c r="L2" s="44" t="s">
        <v>12</v>
      </c>
      <c r="M2" s="39" t="s">
        <v>13</v>
      </c>
      <c r="N2" s="39" t="s">
        <v>14</v>
      </c>
      <c r="O2" s="39" t="s">
        <v>15</v>
      </c>
      <c r="P2" s="39" t="s">
        <v>16</v>
      </c>
      <c r="Q2" s="39" t="s">
        <v>17</v>
      </c>
      <c r="R2" s="39" t="s">
        <v>18</v>
      </c>
      <c r="S2" s="39" t="s">
        <v>19</v>
      </c>
      <c r="T2" s="39" t="s">
        <v>20</v>
      </c>
      <c r="U2" s="39" t="s">
        <v>21</v>
      </c>
      <c r="V2" s="39" t="s">
        <v>22</v>
      </c>
      <c r="W2" s="43" t="s">
        <v>23</v>
      </c>
      <c r="X2" s="39" t="s">
        <v>24</v>
      </c>
      <c r="Y2" s="45" t="s">
        <v>25</v>
      </c>
    </row>
    <row r="3" s="24" customFormat="1" ht="85.5" spans="1:25">
      <c r="A3" s="46">
        <v>1</v>
      </c>
      <c r="B3" s="47" t="s">
        <v>26</v>
      </c>
      <c r="C3" s="48" t="s">
        <v>27</v>
      </c>
      <c r="D3" s="49" t="s">
        <v>28</v>
      </c>
      <c r="E3" s="50">
        <v>46028</v>
      </c>
      <c r="F3" s="51">
        <v>46042</v>
      </c>
      <c r="G3" s="50">
        <f>WORKDAY(F3,-3)</f>
        <v>46037</v>
      </c>
      <c r="H3" s="47"/>
      <c r="I3" s="49"/>
      <c r="J3" s="47" t="s">
        <v>29</v>
      </c>
      <c r="K3" s="52"/>
      <c r="L3" s="53" t="s">
        <v>30</v>
      </c>
      <c r="M3" s="54" t="s">
        <v>31</v>
      </c>
      <c r="N3" s="55" t="s">
        <v>32</v>
      </c>
      <c r="O3" s="55" t="s">
        <v>33</v>
      </c>
      <c r="P3" s="55" t="s">
        <v>34</v>
      </c>
      <c r="Q3" s="55" t="s">
        <v>35</v>
      </c>
      <c r="R3" s="47"/>
      <c r="S3" s="47"/>
      <c r="T3" s="47"/>
      <c r="U3" s="47"/>
      <c r="V3" s="47"/>
      <c r="W3" s="52"/>
      <c r="X3" s="47"/>
      <c r="Y3" s="56" t="s">
        <v>36</v>
      </c>
    </row>
    <row r="4" s="24" customFormat="1" ht="128.25" spans="1:25">
      <c r="A4" s="46">
        <v>2</v>
      </c>
      <c r="B4" s="47" t="s">
        <v>37</v>
      </c>
      <c r="C4" s="48" t="s">
        <v>38</v>
      </c>
      <c r="D4" s="49" t="s">
        <v>28</v>
      </c>
      <c r="E4" s="50">
        <v>46027</v>
      </c>
      <c r="F4" s="50">
        <v>46041</v>
      </c>
      <c r="G4" s="50">
        <f t="shared" ref="G4:G35" si="0">WORKDAY(F4,-3)</f>
        <v>46036</v>
      </c>
      <c r="H4" s="50">
        <v>46038</v>
      </c>
      <c r="I4" s="49" t="s">
        <v>39</v>
      </c>
      <c r="J4" s="47" t="s">
        <v>40</v>
      </c>
      <c r="K4" s="52"/>
      <c r="L4" s="53" t="s">
        <v>41</v>
      </c>
      <c r="M4" s="54" t="s">
        <v>31</v>
      </c>
      <c r="N4" s="55" t="s">
        <v>42</v>
      </c>
      <c r="O4" s="55" t="s">
        <v>33</v>
      </c>
      <c r="P4" s="48" t="s">
        <v>43</v>
      </c>
      <c r="Q4" s="54" t="s">
        <v>44</v>
      </c>
      <c r="R4" s="57" t="s">
        <v>45</v>
      </c>
      <c r="S4" s="57" t="s">
        <v>46</v>
      </c>
      <c r="T4" s="47" t="s">
        <v>47</v>
      </c>
      <c r="U4" s="47" t="s">
        <v>48</v>
      </c>
      <c r="V4" s="47" t="s">
        <v>49</v>
      </c>
      <c r="W4" s="52" t="s">
        <v>50</v>
      </c>
      <c r="X4" s="47"/>
      <c r="Y4" s="56"/>
    </row>
    <row r="5" s="25" customFormat="1" ht="99.75" spans="1:25">
      <c r="A5" s="46">
        <v>3</v>
      </c>
      <c r="B5" s="58" t="s">
        <v>51</v>
      </c>
      <c r="C5" s="58" t="s">
        <v>52</v>
      </c>
      <c r="D5" s="59" t="s">
        <v>53</v>
      </c>
      <c r="E5" s="50">
        <v>46031</v>
      </c>
      <c r="F5" s="50">
        <v>46042</v>
      </c>
      <c r="G5" s="50">
        <f t="shared" si="0"/>
        <v>46037</v>
      </c>
      <c r="H5" s="50">
        <v>46041</v>
      </c>
      <c r="I5" s="59" t="s">
        <v>54</v>
      </c>
      <c r="J5" s="58" t="s">
        <v>55</v>
      </c>
      <c r="K5" s="60" t="s">
        <v>44</v>
      </c>
      <c r="L5" s="53" t="s">
        <v>56</v>
      </c>
      <c r="M5" s="54" t="s">
        <v>57</v>
      </c>
      <c r="N5" s="58" t="s">
        <v>58</v>
      </c>
      <c r="O5" s="58" t="s">
        <v>59</v>
      </c>
      <c r="P5" s="48" t="s">
        <v>43</v>
      </c>
      <c r="Q5" s="54" t="s">
        <v>44</v>
      </c>
      <c r="R5" s="57" t="s">
        <v>60</v>
      </c>
      <c r="S5" s="57" t="s">
        <v>61</v>
      </c>
      <c r="T5" s="58" t="s">
        <v>62</v>
      </c>
      <c r="U5" s="58" t="s">
        <v>63</v>
      </c>
      <c r="V5" s="58" t="s">
        <v>64</v>
      </c>
      <c r="W5" s="60" t="s">
        <v>50</v>
      </c>
      <c r="X5" s="60" t="s">
        <v>50</v>
      </c>
      <c r="Y5" s="61"/>
    </row>
    <row r="6" s="25" customFormat="1" ht="128.25" spans="1:25">
      <c r="A6" s="46">
        <v>4</v>
      </c>
      <c r="B6" s="58" t="s">
        <v>51</v>
      </c>
      <c r="C6" s="58" t="s">
        <v>65</v>
      </c>
      <c r="D6" s="59" t="s">
        <v>53</v>
      </c>
      <c r="E6" s="50">
        <v>46037</v>
      </c>
      <c r="F6" s="50">
        <v>46048</v>
      </c>
      <c r="G6" s="50">
        <f t="shared" si="0"/>
        <v>46043</v>
      </c>
      <c r="H6" s="50">
        <v>46041</v>
      </c>
      <c r="I6" s="59" t="s">
        <v>66</v>
      </c>
      <c r="J6" s="58" t="s">
        <v>67</v>
      </c>
      <c r="K6" s="60" t="s">
        <v>44</v>
      </c>
      <c r="L6" s="53" t="s">
        <v>68</v>
      </c>
      <c r="M6" s="54" t="s">
        <v>57</v>
      </c>
      <c r="N6" s="58" t="s">
        <v>58</v>
      </c>
      <c r="O6" s="58" t="s">
        <v>33</v>
      </c>
      <c r="P6" s="48" t="s">
        <v>43</v>
      </c>
      <c r="Q6" s="54" t="s">
        <v>44</v>
      </c>
      <c r="R6" s="57" t="s">
        <v>69</v>
      </c>
      <c r="S6" s="57" t="s">
        <v>70</v>
      </c>
      <c r="T6" s="58" t="s">
        <v>71</v>
      </c>
      <c r="U6" s="58" t="s">
        <v>48</v>
      </c>
      <c r="V6" s="58" t="s">
        <v>64</v>
      </c>
      <c r="W6" s="60" t="s">
        <v>50</v>
      </c>
      <c r="X6" s="60" t="s">
        <v>50</v>
      </c>
      <c r="Y6" s="61"/>
    </row>
    <row r="7" s="25" customFormat="1" ht="285" spans="1:25">
      <c r="A7" s="46">
        <v>5</v>
      </c>
      <c r="B7" s="58" t="s">
        <v>72</v>
      </c>
      <c r="C7" s="58" t="s">
        <v>73</v>
      </c>
      <c r="D7" s="59" t="s">
        <v>28</v>
      </c>
      <c r="E7" s="50">
        <v>46063</v>
      </c>
      <c r="F7" s="50">
        <v>46083</v>
      </c>
      <c r="G7" s="50">
        <f t="shared" si="0"/>
        <v>46078</v>
      </c>
      <c r="H7" s="50">
        <v>46076</v>
      </c>
      <c r="I7" s="59" t="s">
        <v>74</v>
      </c>
      <c r="J7" s="58" t="s">
        <v>55</v>
      </c>
      <c r="K7" s="60">
        <v>0.12</v>
      </c>
      <c r="L7" s="53" t="s">
        <v>75</v>
      </c>
      <c r="M7" s="54" t="s">
        <v>76</v>
      </c>
      <c r="N7" s="55" t="s">
        <v>42</v>
      </c>
      <c r="O7" s="58" t="s">
        <v>33</v>
      </c>
      <c r="P7" s="48" t="s">
        <v>43</v>
      </c>
      <c r="Q7" s="54" t="s">
        <v>77</v>
      </c>
      <c r="R7" s="57" t="s">
        <v>78</v>
      </c>
      <c r="S7" s="57" t="s">
        <v>79</v>
      </c>
      <c r="T7" s="58" t="s">
        <v>80</v>
      </c>
      <c r="U7" s="58" t="s">
        <v>48</v>
      </c>
      <c r="V7" s="58" t="s">
        <v>64</v>
      </c>
      <c r="W7" s="60" t="s">
        <v>50</v>
      </c>
      <c r="X7" s="60"/>
      <c r="Y7" s="61"/>
    </row>
    <row r="8" s="25" customFormat="1" ht="117.95" customHeight="1" spans="1:25">
      <c r="A8" s="46">
        <v>6</v>
      </c>
      <c r="B8" s="58" t="s">
        <v>26</v>
      </c>
      <c r="C8" s="48" t="s">
        <v>81</v>
      </c>
      <c r="D8" s="59" t="s">
        <v>28</v>
      </c>
      <c r="E8" s="50">
        <v>46051</v>
      </c>
      <c r="F8" s="51">
        <v>46065</v>
      </c>
      <c r="G8" s="50">
        <f t="shared" si="0"/>
        <v>46062</v>
      </c>
      <c r="H8" s="50">
        <v>46055</v>
      </c>
      <c r="I8" s="59" t="s">
        <v>66</v>
      </c>
      <c r="J8" s="58" t="s">
        <v>29</v>
      </c>
      <c r="K8" s="62">
        <v>0.0157</v>
      </c>
      <c r="L8" s="53" t="s">
        <v>82</v>
      </c>
      <c r="M8" s="54" t="s">
        <v>31</v>
      </c>
      <c r="N8" s="55" t="s">
        <v>32</v>
      </c>
      <c r="O8" s="58" t="s">
        <v>33</v>
      </c>
      <c r="P8" s="48" t="s">
        <v>43</v>
      </c>
      <c r="Q8" s="54" t="s">
        <v>83</v>
      </c>
      <c r="R8" s="57" t="s">
        <v>84</v>
      </c>
      <c r="S8" s="57" t="s">
        <v>85</v>
      </c>
      <c r="T8" s="48" t="s">
        <v>86</v>
      </c>
      <c r="U8" s="58" t="s">
        <v>87</v>
      </c>
      <c r="V8" s="58" t="s">
        <v>64</v>
      </c>
      <c r="W8" s="60" t="s">
        <v>35</v>
      </c>
      <c r="X8" s="60"/>
      <c r="Y8" s="61"/>
    </row>
    <row r="9" s="25" customFormat="1" ht="128.25" spans="1:25">
      <c r="A9" s="46">
        <v>7</v>
      </c>
      <c r="B9" s="58" t="s">
        <v>88</v>
      </c>
      <c r="C9" s="58" t="s">
        <v>89</v>
      </c>
      <c r="D9" s="59" t="s">
        <v>28</v>
      </c>
      <c r="E9" s="50">
        <v>46045</v>
      </c>
      <c r="F9" s="50">
        <v>46058</v>
      </c>
      <c r="G9" s="50">
        <f t="shared" si="0"/>
        <v>46055</v>
      </c>
      <c r="H9" s="50">
        <v>46057</v>
      </c>
      <c r="I9" s="59" t="s">
        <v>39</v>
      </c>
      <c r="J9" s="58" t="s">
        <v>29</v>
      </c>
      <c r="K9" s="62">
        <v>0.055</v>
      </c>
      <c r="L9" s="53" t="s">
        <v>90</v>
      </c>
      <c r="M9" s="57" t="s">
        <v>91</v>
      </c>
      <c r="N9" s="58" t="s">
        <v>92</v>
      </c>
      <c r="O9" s="58" t="s">
        <v>33</v>
      </c>
      <c r="P9" s="48" t="s">
        <v>43</v>
      </c>
      <c r="Q9" s="57" t="s">
        <v>93</v>
      </c>
      <c r="R9" s="57" t="s">
        <v>94</v>
      </c>
      <c r="S9" s="57" t="s">
        <v>95</v>
      </c>
      <c r="T9" s="58" t="s">
        <v>96</v>
      </c>
      <c r="U9" s="58" t="s">
        <v>97</v>
      </c>
      <c r="V9" s="58" t="s">
        <v>64</v>
      </c>
      <c r="W9" s="60" t="s">
        <v>50</v>
      </c>
      <c r="X9" s="60" t="s">
        <v>50</v>
      </c>
      <c r="Y9" s="61"/>
    </row>
    <row r="10" ht="156.75" spans="1:25">
      <c r="A10" s="46">
        <v>8</v>
      </c>
      <c r="B10" s="48" t="s">
        <v>98</v>
      </c>
      <c r="C10" s="48" t="s">
        <v>99</v>
      </c>
      <c r="D10" s="63" t="s">
        <v>28</v>
      </c>
      <c r="E10" s="64">
        <v>46037</v>
      </c>
      <c r="F10" s="64">
        <v>46050</v>
      </c>
      <c r="G10" s="50">
        <f t="shared" si="0"/>
        <v>46045</v>
      </c>
      <c r="H10" s="50" t="s">
        <v>44</v>
      </c>
      <c r="I10" s="63" t="s">
        <v>44</v>
      </c>
      <c r="J10" s="48" t="s">
        <v>29</v>
      </c>
      <c r="K10" s="65">
        <v>0.0778</v>
      </c>
      <c r="L10" s="53" t="s">
        <v>100</v>
      </c>
      <c r="M10" s="53" t="s">
        <v>101</v>
      </c>
      <c r="N10" s="48" t="s">
        <v>102</v>
      </c>
      <c r="O10" s="48" t="s">
        <v>33</v>
      </c>
      <c r="P10" s="48" t="s">
        <v>103</v>
      </c>
      <c r="Q10" s="53" t="s">
        <v>104</v>
      </c>
      <c r="R10" s="53" t="s">
        <v>105</v>
      </c>
      <c r="S10" s="66" t="s">
        <v>106</v>
      </c>
      <c r="T10" s="48" t="s">
        <v>44</v>
      </c>
      <c r="U10" s="48" t="s">
        <v>87</v>
      </c>
      <c r="V10" s="48" t="s">
        <v>64</v>
      </c>
      <c r="W10" s="48" t="s">
        <v>35</v>
      </c>
      <c r="X10" s="48" t="s">
        <v>35</v>
      </c>
      <c r="Y10" s="67" t="s">
        <v>107</v>
      </c>
    </row>
    <row r="11" ht="99.75" spans="1:25">
      <c r="A11" s="46">
        <v>9</v>
      </c>
      <c r="B11" s="48" t="s">
        <v>108</v>
      </c>
      <c r="C11" s="48" t="s">
        <v>109</v>
      </c>
      <c r="D11" s="63" t="s">
        <v>28</v>
      </c>
      <c r="E11" s="50">
        <v>46076</v>
      </c>
      <c r="F11" s="51">
        <v>46087</v>
      </c>
      <c r="G11" s="50">
        <f t="shared" si="0"/>
        <v>46084</v>
      </c>
      <c r="H11" s="50">
        <v>46083</v>
      </c>
      <c r="I11" s="63" t="s">
        <v>110</v>
      </c>
      <c r="J11" s="48" t="s">
        <v>29</v>
      </c>
      <c r="K11" s="65">
        <v>1</v>
      </c>
      <c r="L11" s="53" t="s">
        <v>111</v>
      </c>
      <c r="M11" s="53" t="s">
        <v>112</v>
      </c>
      <c r="N11" s="48" t="s">
        <v>32</v>
      </c>
      <c r="O11" s="48" t="s">
        <v>33</v>
      </c>
      <c r="P11" s="48" t="s">
        <v>43</v>
      </c>
      <c r="Q11" s="53"/>
      <c r="R11" s="53" t="s">
        <v>113</v>
      </c>
      <c r="S11" s="53" t="s">
        <v>114</v>
      </c>
      <c r="T11" s="48" t="s">
        <v>115</v>
      </c>
      <c r="U11" s="48" t="s">
        <v>116</v>
      </c>
      <c r="V11" s="48" t="s">
        <v>64</v>
      </c>
      <c r="W11" s="48" t="s">
        <v>50</v>
      </c>
      <c r="X11" s="48" t="s">
        <v>50</v>
      </c>
      <c r="Y11" s="67"/>
    </row>
    <row r="12" ht="99.75" spans="1:25">
      <c r="A12" s="46">
        <v>10</v>
      </c>
      <c r="B12" s="48" t="s">
        <v>108</v>
      </c>
      <c r="C12" s="48" t="s">
        <v>117</v>
      </c>
      <c r="D12" s="63" t="s">
        <v>28</v>
      </c>
      <c r="E12" s="50">
        <v>46076</v>
      </c>
      <c r="F12" s="51">
        <v>46087</v>
      </c>
      <c r="G12" s="50">
        <f t="shared" si="0"/>
        <v>46084</v>
      </c>
      <c r="H12" s="50">
        <v>46077</v>
      </c>
      <c r="I12" s="63" t="s">
        <v>118</v>
      </c>
      <c r="J12" s="48" t="s">
        <v>29</v>
      </c>
      <c r="K12" s="65">
        <v>0.0316</v>
      </c>
      <c r="L12" s="53" t="s">
        <v>119</v>
      </c>
      <c r="M12" s="53" t="s">
        <v>120</v>
      </c>
      <c r="N12" s="48" t="s">
        <v>32</v>
      </c>
      <c r="O12" s="48" t="s">
        <v>33</v>
      </c>
      <c r="P12" s="48" t="s">
        <v>43</v>
      </c>
      <c r="Q12" s="53" t="s">
        <v>121</v>
      </c>
      <c r="R12" s="53" t="s">
        <v>122</v>
      </c>
      <c r="S12" s="66" t="s">
        <v>123</v>
      </c>
      <c r="T12" s="58" t="s">
        <v>96</v>
      </c>
      <c r="U12" s="48" t="s">
        <v>97</v>
      </c>
      <c r="V12" s="48" t="s">
        <v>64</v>
      </c>
      <c r="W12" s="48" t="s">
        <v>35</v>
      </c>
      <c r="X12" s="48" t="s">
        <v>50</v>
      </c>
      <c r="Y12" s="67"/>
    </row>
    <row r="13" ht="142.5" spans="1:25">
      <c r="A13" s="46">
        <v>11</v>
      </c>
      <c r="B13" s="48" t="s">
        <v>124</v>
      </c>
      <c r="C13" s="48" t="s">
        <v>125</v>
      </c>
      <c r="D13" s="63" t="s">
        <v>28</v>
      </c>
      <c r="E13" s="64">
        <v>46078</v>
      </c>
      <c r="F13" s="64">
        <v>46098</v>
      </c>
      <c r="G13" s="50">
        <f t="shared" si="0"/>
        <v>46093</v>
      </c>
      <c r="H13" s="50" t="s">
        <v>44</v>
      </c>
      <c r="I13" s="63" t="s">
        <v>44</v>
      </c>
      <c r="J13" s="48" t="s">
        <v>29</v>
      </c>
      <c r="K13" s="65">
        <v>0.1267</v>
      </c>
      <c r="L13" s="53" t="s">
        <v>126</v>
      </c>
      <c r="M13" s="53" t="s">
        <v>127</v>
      </c>
      <c r="N13" s="48" t="s">
        <v>102</v>
      </c>
      <c r="O13" s="48" t="s">
        <v>59</v>
      </c>
      <c r="P13" s="48" t="s">
        <v>43</v>
      </c>
      <c r="Q13" s="53" t="s">
        <v>128</v>
      </c>
      <c r="R13" s="53" t="s">
        <v>129</v>
      </c>
      <c r="S13" s="66" t="s">
        <v>130</v>
      </c>
      <c r="T13" s="48" t="s">
        <v>44</v>
      </c>
      <c r="U13" s="48" t="s">
        <v>131</v>
      </c>
      <c r="V13" s="48" t="s">
        <v>64</v>
      </c>
      <c r="W13" s="48" t="s">
        <v>50</v>
      </c>
      <c r="X13" s="48" t="s">
        <v>50</v>
      </c>
      <c r="Y13" s="67" t="s">
        <v>132</v>
      </c>
    </row>
    <row r="14" ht="114" spans="1:25">
      <c r="A14" s="46">
        <v>12</v>
      </c>
      <c r="B14" s="48" t="s">
        <v>88</v>
      </c>
      <c r="C14" s="48" t="s">
        <v>133</v>
      </c>
      <c r="D14" s="63" t="s">
        <v>28</v>
      </c>
      <c r="E14" s="50">
        <v>46076</v>
      </c>
      <c r="F14" s="51">
        <v>46087</v>
      </c>
      <c r="G14" s="50">
        <f t="shared" si="0"/>
        <v>46084</v>
      </c>
      <c r="H14" s="50" t="s">
        <v>44</v>
      </c>
      <c r="I14" s="63" t="s">
        <v>44</v>
      </c>
      <c r="J14" s="48" t="s">
        <v>67</v>
      </c>
      <c r="K14" s="65">
        <v>0.23</v>
      </c>
      <c r="L14" s="53" t="s">
        <v>134</v>
      </c>
      <c r="M14" s="53" t="s">
        <v>127</v>
      </c>
      <c r="N14" s="48" t="s">
        <v>92</v>
      </c>
      <c r="O14" s="48" t="s">
        <v>59</v>
      </c>
      <c r="P14" s="48" t="s">
        <v>43</v>
      </c>
      <c r="Q14" s="53" t="s">
        <v>135</v>
      </c>
      <c r="R14" s="53" t="s">
        <v>129</v>
      </c>
      <c r="S14" s="66" t="s">
        <v>130</v>
      </c>
      <c r="T14" s="48" t="s">
        <v>44</v>
      </c>
      <c r="U14" s="48" t="s">
        <v>136</v>
      </c>
      <c r="V14" s="48" t="s">
        <v>64</v>
      </c>
      <c r="W14" s="48" t="s">
        <v>50</v>
      </c>
      <c r="X14" s="48" t="s">
        <v>50</v>
      </c>
      <c r="Y14" s="67" t="s">
        <v>132</v>
      </c>
    </row>
    <row r="15" ht="128.25" spans="1:25">
      <c r="A15" s="46">
        <v>13</v>
      </c>
      <c r="B15" s="48" t="s">
        <v>108</v>
      </c>
      <c r="C15" s="48" t="s">
        <v>137</v>
      </c>
      <c r="D15" s="63" t="s">
        <v>28</v>
      </c>
      <c r="E15" s="50">
        <v>46085</v>
      </c>
      <c r="F15" s="51">
        <v>46099</v>
      </c>
      <c r="G15" s="50">
        <f t="shared" si="0"/>
        <v>46094</v>
      </c>
      <c r="H15" s="51">
        <v>46091</v>
      </c>
      <c r="I15" s="63" t="s">
        <v>74</v>
      </c>
      <c r="J15" s="48" t="s">
        <v>29</v>
      </c>
      <c r="K15" s="65">
        <v>0.44</v>
      </c>
      <c r="L15" s="53" t="s">
        <v>138</v>
      </c>
      <c r="M15" s="53" t="s">
        <v>139</v>
      </c>
      <c r="N15" s="48" t="s">
        <v>32</v>
      </c>
      <c r="O15" s="48" t="s">
        <v>59</v>
      </c>
      <c r="P15" s="48" t="s">
        <v>43</v>
      </c>
      <c r="Q15" s="53"/>
      <c r="R15" s="53" t="s">
        <v>140</v>
      </c>
      <c r="S15" s="53" t="s">
        <v>141</v>
      </c>
      <c r="T15" s="48"/>
      <c r="U15" s="48"/>
      <c r="V15" s="48" t="s">
        <v>64</v>
      </c>
      <c r="W15" s="48" t="s">
        <v>50</v>
      </c>
      <c r="X15" s="48" t="s">
        <v>50</v>
      </c>
      <c r="Y15" s="67"/>
    </row>
    <row r="16" ht="114" spans="1:25">
      <c r="A16" s="46">
        <v>14</v>
      </c>
      <c r="B16" s="48" t="s">
        <v>142</v>
      </c>
      <c r="C16" s="48" t="s">
        <v>143</v>
      </c>
      <c r="D16" s="63" t="s">
        <v>28</v>
      </c>
      <c r="E16" s="50">
        <v>46086</v>
      </c>
      <c r="F16" s="50">
        <v>46100</v>
      </c>
      <c r="G16" s="50">
        <f t="shared" si="0"/>
        <v>46097</v>
      </c>
      <c r="H16" s="50">
        <v>46101</v>
      </c>
      <c r="I16" s="63" t="s">
        <v>54</v>
      </c>
      <c r="J16" s="48" t="s">
        <v>144</v>
      </c>
      <c r="K16" s="65">
        <v>0.053</v>
      </c>
      <c r="L16" s="53" t="s">
        <v>145</v>
      </c>
      <c r="M16" s="53" t="s">
        <v>146</v>
      </c>
      <c r="N16" s="48" t="s">
        <v>92</v>
      </c>
      <c r="O16" s="48" t="s">
        <v>33</v>
      </c>
      <c r="P16" s="48" t="s">
        <v>43</v>
      </c>
      <c r="Q16" s="53" t="s">
        <v>147</v>
      </c>
      <c r="R16" s="53" t="s">
        <v>148</v>
      </c>
      <c r="S16" s="66" t="s">
        <v>149</v>
      </c>
      <c r="T16" s="48" t="s">
        <v>150</v>
      </c>
      <c r="U16" s="48" t="s">
        <v>97</v>
      </c>
      <c r="V16" s="48" t="s">
        <v>64</v>
      </c>
      <c r="W16" s="48" t="s">
        <v>35</v>
      </c>
      <c r="X16" s="48" t="s">
        <v>35</v>
      </c>
      <c r="Y16" s="67" t="s">
        <v>151</v>
      </c>
    </row>
    <row r="17" ht="114" spans="1:25">
      <c r="A17" s="46">
        <v>15</v>
      </c>
      <c r="B17" s="48" t="s">
        <v>142</v>
      </c>
      <c r="C17" s="48" t="s">
        <v>152</v>
      </c>
      <c r="D17" s="63" t="s">
        <v>28</v>
      </c>
      <c r="E17" s="50">
        <v>46087</v>
      </c>
      <c r="F17" s="50">
        <v>46101</v>
      </c>
      <c r="G17" s="50">
        <f t="shared" si="0"/>
        <v>46098</v>
      </c>
      <c r="H17" s="50">
        <v>46098</v>
      </c>
      <c r="I17" s="63" t="s">
        <v>153</v>
      </c>
      <c r="J17" s="48" t="s">
        <v>67</v>
      </c>
      <c r="K17" s="65">
        <v>1</v>
      </c>
      <c r="L17" s="68" t="s">
        <v>154</v>
      </c>
      <c r="M17" s="53" t="s">
        <v>146</v>
      </c>
      <c r="N17" s="48" t="s">
        <v>92</v>
      </c>
      <c r="O17" s="48" t="s">
        <v>33</v>
      </c>
      <c r="P17" s="48" t="s">
        <v>43</v>
      </c>
      <c r="Q17" s="53" t="s">
        <v>155</v>
      </c>
      <c r="R17" s="53" t="s">
        <v>156</v>
      </c>
      <c r="S17" s="66" t="s">
        <v>157</v>
      </c>
      <c r="T17" s="66" t="s">
        <v>158</v>
      </c>
      <c r="U17" s="48" t="s">
        <v>136</v>
      </c>
      <c r="V17" s="48" t="s">
        <v>64</v>
      </c>
      <c r="W17" s="48" t="s">
        <v>50</v>
      </c>
      <c r="X17" s="48"/>
      <c r="Y17" s="67"/>
    </row>
    <row r="18" ht="150" customHeight="1" spans="1:25">
      <c r="A18" s="46">
        <v>16</v>
      </c>
      <c r="B18" s="48" t="s">
        <v>51</v>
      </c>
      <c r="C18" s="48" t="s">
        <v>65</v>
      </c>
      <c r="D18" s="63" t="s">
        <v>53</v>
      </c>
      <c r="E18" s="64">
        <v>46091</v>
      </c>
      <c r="F18" s="64">
        <v>46100</v>
      </c>
      <c r="G18" s="50">
        <f t="shared" si="0"/>
        <v>46097</v>
      </c>
      <c r="H18" s="64">
        <v>46093</v>
      </c>
      <c r="I18" s="63" t="s">
        <v>159</v>
      </c>
      <c r="J18" s="48" t="s">
        <v>55</v>
      </c>
      <c r="K18" s="65">
        <v>1</v>
      </c>
      <c r="L18" s="53" t="s">
        <v>160</v>
      </c>
      <c r="M18" s="53" t="s">
        <v>161</v>
      </c>
      <c r="N18" s="48" t="s">
        <v>58</v>
      </c>
      <c r="O18" s="48" t="s">
        <v>33</v>
      </c>
      <c r="P18" s="48" t="s">
        <v>43</v>
      </c>
      <c r="Q18" s="53"/>
      <c r="R18" s="53" t="s">
        <v>162</v>
      </c>
      <c r="S18" s="66" t="s">
        <v>163</v>
      </c>
      <c r="T18" s="48" t="s">
        <v>150</v>
      </c>
      <c r="U18" s="48" t="s">
        <v>164</v>
      </c>
      <c r="V18" s="48" t="s">
        <v>64</v>
      </c>
      <c r="W18" s="48" t="s">
        <v>35</v>
      </c>
      <c r="X18" s="48" t="s">
        <v>35</v>
      </c>
      <c r="Y18" s="67"/>
    </row>
    <row r="19" ht="99.75" spans="1:25">
      <c r="A19" s="46">
        <v>17</v>
      </c>
      <c r="B19" s="48" t="s">
        <v>108</v>
      </c>
      <c r="C19" s="48" t="s">
        <v>137</v>
      </c>
      <c r="D19" s="63" t="s">
        <v>28</v>
      </c>
      <c r="E19" s="64">
        <v>46087</v>
      </c>
      <c r="F19" s="64">
        <v>46101</v>
      </c>
      <c r="G19" s="50">
        <f t="shared" si="0"/>
        <v>46098</v>
      </c>
      <c r="H19" s="64">
        <v>46092</v>
      </c>
      <c r="I19" s="63" t="s">
        <v>159</v>
      </c>
      <c r="J19" s="48" t="s">
        <v>29</v>
      </c>
      <c r="K19" s="65">
        <v>1</v>
      </c>
      <c r="L19" s="53" t="s">
        <v>165</v>
      </c>
      <c r="M19" s="53" t="s">
        <v>166</v>
      </c>
      <c r="N19" s="48" t="s">
        <v>32</v>
      </c>
      <c r="O19" s="48" t="s">
        <v>33</v>
      </c>
      <c r="P19" s="48" t="s">
        <v>43</v>
      </c>
      <c r="Q19" s="53"/>
      <c r="R19" s="53" t="s">
        <v>167</v>
      </c>
      <c r="S19" s="66" t="s">
        <v>168</v>
      </c>
      <c r="T19" s="48" t="s">
        <v>35</v>
      </c>
      <c r="U19" s="48" t="s">
        <v>116</v>
      </c>
      <c r="V19" s="48" t="s">
        <v>64</v>
      </c>
      <c r="W19" s="48" t="s">
        <v>35</v>
      </c>
      <c r="X19" s="48" t="s">
        <v>50</v>
      </c>
      <c r="Y19" s="67"/>
    </row>
    <row r="20" ht="199.5" spans="1:25">
      <c r="A20" s="46">
        <v>18</v>
      </c>
      <c r="B20" s="48" t="s">
        <v>37</v>
      </c>
      <c r="C20" s="48" t="s">
        <v>169</v>
      </c>
      <c r="D20" s="63" t="s">
        <v>28</v>
      </c>
      <c r="E20" s="69">
        <v>46085</v>
      </c>
      <c r="F20" s="70">
        <v>46099</v>
      </c>
      <c r="G20" s="50">
        <f t="shared" si="0"/>
        <v>46094</v>
      </c>
      <c r="H20" s="70">
        <v>46097</v>
      </c>
      <c r="I20" s="63" t="s">
        <v>39</v>
      </c>
      <c r="J20" s="48" t="s">
        <v>29</v>
      </c>
      <c r="K20" s="65" t="s">
        <v>44</v>
      </c>
      <c r="L20" s="53" t="s">
        <v>170</v>
      </c>
      <c r="M20" s="54" t="s">
        <v>31</v>
      </c>
      <c r="N20" s="55" t="s">
        <v>42</v>
      </c>
      <c r="O20" s="48" t="s">
        <v>33</v>
      </c>
      <c r="P20" s="48" t="s">
        <v>43</v>
      </c>
      <c r="Q20" s="54" t="s">
        <v>44</v>
      </c>
      <c r="R20" s="53" t="s">
        <v>171</v>
      </c>
      <c r="S20" s="71" t="s">
        <v>172</v>
      </c>
      <c r="T20" s="48" t="s">
        <v>150</v>
      </c>
      <c r="U20" s="48" t="s">
        <v>173</v>
      </c>
      <c r="V20" s="58" t="s">
        <v>64</v>
      </c>
      <c r="W20" s="60" t="s">
        <v>50</v>
      </c>
      <c r="X20" s="48"/>
      <c r="Y20" s="67"/>
    </row>
    <row r="21" ht="99.75" spans="1:25">
      <c r="A21" s="46">
        <v>19</v>
      </c>
      <c r="B21" s="48" t="s">
        <v>72</v>
      </c>
      <c r="C21" s="48" t="s">
        <v>73</v>
      </c>
      <c r="D21" s="63" t="s">
        <v>28</v>
      </c>
      <c r="E21" s="69">
        <v>46097</v>
      </c>
      <c r="F21" s="69">
        <v>46111</v>
      </c>
      <c r="G21" s="50">
        <f t="shared" si="0"/>
        <v>46106</v>
      </c>
      <c r="H21" s="69">
        <v>46107</v>
      </c>
      <c r="I21" s="63" t="s">
        <v>39</v>
      </c>
      <c r="J21" s="48" t="s">
        <v>55</v>
      </c>
      <c r="K21" s="65" t="s">
        <v>44</v>
      </c>
      <c r="L21" s="53" t="s">
        <v>174</v>
      </c>
      <c r="M21" s="54" t="s">
        <v>31</v>
      </c>
      <c r="N21" s="55" t="s">
        <v>42</v>
      </c>
      <c r="O21" s="48" t="s">
        <v>33</v>
      </c>
      <c r="P21" s="48" t="s">
        <v>43</v>
      </c>
      <c r="Q21" s="53" t="s">
        <v>175</v>
      </c>
      <c r="R21" s="53" t="s">
        <v>176</v>
      </c>
      <c r="S21" s="66" t="s">
        <v>177</v>
      </c>
      <c r="T21" s="48" t="s">
        <v>80</v>
      </c>
      <c r="U21" s="48" t="s">
        <v>48</v>
      </c>
      <c r="V21" s="58" t="s">
        <v>64</v>
      </c>
      <c r="W21" s="48" t="s">
        <v>50</v>
      </c>
      <c r="X21" s="48"/>
      <c r="Y21" s="67"/>
    </row>
    <row r="22" ht="185.25" spans="1:25">
      <c r="A22" s="46">
        <v>20</v>
      </c>
      <c r="B22" s="48" t="s">
        <v>37</v>
      </c>
      <c r="C22" s="48" t="s">
        <v>178</v>
      </c>
      <c r="D22" s="63" t="s">
        <v>28</v>
      </c>
      <c r="E22" s="69">
        <v>46098</v>
      </c>
      <c r="F22" s="69">
        <v>46112</v>
      </c>
      <c r="G22" s="50">
        <f t="shared" si="0"/>
        <v>46107</v>
      </c>
      <c r="H22" s="69">
        <v>46104</v>
      </c>
      <c r="I22" s="63" t="s">
        <v>74</v>
      </c>
      <c r="J22" s="48" t="s">
        <v>29</v>
      </c>
      <c r="K22" s="65" t="s">
        <v>44</v>
      </c>
      <c r="L22" s="53" t="s">
        <v>179</v>
      </c>
      <c r="M22" s="53" t="s">
        <v>180</v>
      </c>
      <c r="N22" s="55" t="s">
        <v>42</v>
      </c>
      <c r="O22" s="48" t="s">
        <v>33</v>
      </c>
      <c r="P22" s="48" t="s">
        <v>43</v>
      </c>
      <c r="Q22" s="53" t="s">
        <v>181</v>
      </c>
      <c r="R22" s="53" t="s">
        <v>182</v>
      </c>
      <c r="S22" s="66" t="s">
        <v>183</v>
      </c>
      <c r="T22" s="48" t="s">
        <v>80</v>
      </c>
      <c r="U22" s="48" t="s">
        <v>48</v>
      </c>
      <c r="V22" s="48" t="s">
        <v>184</v>
      </c>
      <c r="W22" s="48" t="s">
        <v>50</v>
      </c>
      <c r="X22" s="48"/>
      <c r="Y22" s="67"/>
    </row>
    <row r="23" ht="85.5" customHeight="1" spans="1:25">
      <c r="A23" s="46">
        <v>21</v>
      </c>
      <c r="B23" s="48" t="s">
        <v>51</v>
      </c>
      <c r="C23" s="48" t="s">
        <v>185</v>
      </c>
      <c r="D23" s="63" t="s">
        <v>53</v>
      </c>
      <c r="E23" s="69">
        <v>46097</v>
      </c>
      <c r="F23" s="69">
        <v>46105</v>
      </c>
      <c r="G23" s="50">
        <f t="shared" si="0"/>
        <v>46100</v>
      </c>
      <c r="H23" s="50" t="s">
        <v>44</v>
      </c>
      <c r="I23" s="63" t="s">
        <v>44</v>
      </c>
      <c r="J23" s="48" t="s">
        <v>144</v>
      </c>
      <c r="K23" s="65" t="s">
        <v>44</v>
      </c>
      <c r="L23" s="53" t="s">
        <v>186</v>
      </c>
      <c r="M23" s="53" t="s">
        <v>187</v>
      </c>
      <c r="N23" s="48" t="s">
        <v>92</v>
      </c>
      <c r="O23" s="48" t="s">
        <v>33</v>
      </c>
      <c r="P23" s="48" t="s">
        <v>103</v>
      </c>
      <c r="Q23" s="53" t="s">
        <v>188</v>
      </c>
      <c r="R23" s="53" t="s">
        <v>189</v>
      </c>
      <c r="S23" s="48" t="s">
        <v>44</v>
      </c>
      <c r="T23" s="48" t="s">
        <v>44</v>
      </c>
      <c r="U23" s="48" t="s">
        <v>190</v>
      </c>
      <c r="V23" s="48" t="s">
        <v>64</v>
      </c>
      <c r="W23" s="48" t="s">
        <v>35</v>
      </c>
      <c r="X23" s="48" t="s">
        <v>35</v>
      </c>
      <c r="Y23" s="67"/>
    </row>
    <row r="24" ht="156.75" spans="1:25">
      <c r="A24" s="46">
        <v>22</v>
      </c>
      <c r="B24" s="48" t="s">
        <v>124</v>
      </c>
      <c r="C24" s="48" t="s">
        <v>191</v>
      </c>
      <c r="D24" s="63" t="s">
        <v>28</v>
      </c>
      <c r="E24" s="64">
        <v>46097</v>
      </c>
      <c r="F24" s="64">
        <v>46108</v>
      </c>
      <c r="G24" s="50">
        <f t="shared" si="0"/>
        <v>46105</v>
      </c>
      <c r="H24" s="50">
        <v>46101</v>
      </c>
      <c r="I24" s="63" t="s">
        <v>74</v>
      </c>
      <c r="J24" s="48" t="s">
        <v>29</v>
      </c>
      <c r="K24" s="65">
        <v>0.0001</v>
      </c>
      <c r="L24" s="72" t="s">
        <v>192</v>
      </c>
      <c r="M24" s="53" t="s">
        <v>193</v>
      </c>
      <c r="N24" s="48" t="s">
        <v>102</v>
      </c>
      <c r="O24" s="48" t="s">
        <v>33</v>
      </c>
      <c r="P24" s="48" t="s">
        <v>43</v>
      </c>
      <c r="Q24" s="53" t="s">
        <v>194</v>
      </c>
      <c r="R24" s="53" t="s">
        <v>195</v>
      </c>
      <c r="S24" s="66" t="s">
        <v>196</v>
      </c>
      <c r="T24" s="48" t="s">
        <v>197</v>
      </c>
      <c r="U24" s="48" t="s">
        <v>198</v>
      </c>
      <c r="V24" s="48" t="s">
        <v>64</v>
      </c>
      <c r="W24" s="48" t="s">
        <v>35</v>
      </c>
      <c r="X24" s="48" t="s">
        <v>35</v>
      </c>
      <c r="Y24" s="67" t="s">
        <v>199</v>
      </c>
    </row>
    <row r="25" ht="99.75" spans="1:25">
      <c r="A25" s="46">
        <v>23</v>
      </c>
      <c r="B25" s="48" t="s">
        <v>26</v>
      </c>
      <c r="C25" s="48" t="s">
        <v>27</v>
      </c>
      <c r="D25" s="63" t="s">
        <v>28</v>
      </c>
      <c r="E25" s="64">
        <v>46122</v>
      </c>
      <c r="F25" s="64">
        <v>46136</v>
      </c>
      <c r="G25" s="50">
        <f t="shared" si="0"/>
        <v>46133</v>
      </c>
      <c r="H25" s="50"/>
      <c r="I25" s="63"/>
      <c r="J25" s="48" t="s">
        <v>29</v>
      </c>
      <c r="K25" s="65">
        <v>0.09</v>
      </c>
      <c r="L25" s="53" t="s">
        <v>200</v>
      </c>
      <c r="M25" s="53" t="s">
        <v>139</v>
      </c>
      <c r="N25" s="48" t="s">
        <v>32</v>
      </c>
      <c r="O25" s="48" t="s">
        <v>33</v>
      </c>
      <c r="P25" s="48" t="s">
        <v>43</v>
      </c>
      <c r="Q25" s="53"/>
      <c r="R25" s="53" t="s">
        <v>201</v>
      </c>
      <c r="S25" s="66" t="s">
        <v>202</v>
      </c>
      <c r="T25" s="48" t="s">
        <v>80</v>
      </c>
      <c r="U25" s="48" t="s">
        <v>87</v>
      </c>
      <c r="V25" s="48" t="s">
        <v>64</v>
      </c>
      <c r="W25" s="48"/>
      <c r="X25" s="48"/>
      <c r="Y25" s="67" t="s">
        <v>203</v>
      </c>
    </row>
    <row r="26" ht="297" spans="1:25">
      <c r="A26" s="46">
        <v>24</v>
      </c>
      <c r="B26" s="48" t="s">
        <v>37</v>
      </c>
      <c r="C26" s="48" t="s">
        <v>38</v>
      </c>
      <c r="D26" s="63" t="s">
        <v>28</v>
      </c>
      <c r="E26" s="69">
        <v>46113</v>
      </c>
      <c r="F26" s="69">
        <v>46127</v>
      </c>
      <c r="G26" s="50">
        <f t="shared" si="0"/>
        <v>46122</v>
      </c>
      <c r="H26" s="69">
        <v>46122</v>
      </c>
      <c r="I26" s="63" t="s">
        <v>54</v>
      </c>
      <c r="J26" s="48" t="s">
        <v>29</v>
      </c>
      <c r="K26" s="65">
        <v>0.9167</v>
      </c>
      <c r="L26" s="73" t="s">
        <v>204</v>
      </c>
      <c r="M26" s="53" t="s">
        <v>205</v>
      </c>
      <c r="N26" s="48" t="s">
        <v>42</v>
      </c>
      <c r="O26" s="48" t="s">
        <v>33</v>
      </c>
      <c r="P26" s="48" t="s">
        <v>43</v>
      </c>
      <c r="Q26" s="53" t="s">
        <v>206</v>
      </c>
      <c r="R26" s="74" t="s">
        <v>207</v>
      </c>
      <c r="S26" s="74" t="s">
        <v>208</v>
      </c>
      <c r="T26" s="48" t="s">
        <v>80</v>
      </c>
      <c r="U26" s="48" t="s">
        <v>48</v>
      </c>
      <c r="V26" s="48" t="s">
        <v>64</v>
      </c>
      <c r="W26" s="48" t="s">
        <v>50</v>
      </c>
      <c r="X26" s="48"/>
    </row>
    <row r="27" ht="132" spans="1:25">
      <c r="A27" s="46">
        <v>25</v>
      </c>
      <c r="B27" s="48" t="s">
        <v>88</v>
      </c>
      <c r="C27" s="48" t="s">
        <v>133</v>
      </c>
      <c r="D27" s="63" t="s">
        <v>28</v>
      </c>
      <c r="E27" s="69">
        <v>46126</v>
      </c>
      <c r="F27" s="69">
        <v>46136</v>
      </c>
      <c r="G27" s="50">
        <f t="shared" si="0"/>
        <v>46133</v>
      </c>
      <c r="H27" s="69" t="s">
        <v>44</v>
      </c>
      <c r="I27" s="63" t="s">
        <v>44</v>
      </c>
      <c r="J27" s="48" t="s">
        <v>67</v>
      </c>
      <c r="K27" s="65">
        <v>0.0217</v>
      </c>
      <c r="L27" s="73" t="s">
        <v>209</v>
      </c>
      <c r="M27" s="53" t="s">
        <v>146</v>
      </c>
      <c r="N27" s="48" t="s">
        <v>92</v>
      </c>
      <c r="O27" s="48" t="s">
        <v>33</v>
      </c>
      <c r="P27" s="48" t="s">
        <v>103</v>
      </c>
      <c r="Q27" s="53" t="s">
        <v>210</v>
      </c>
      <c r="R27" s="74" t="s">
        <v>211</v>
      </c>
      <c r="S27" s="48" t="s">
        <v>44</v>
      </c>
      <c r="T27" s="48" t="s">
        <v>44</v>
      </c>
      <c r="U27" s="48" t="s">
        <v>48</v>
      </c>
      <c r="V27" s="48" t="s">
        <v>64</v>
      </c>
      <c r="W27" s="48" t="s">
        <v>44</v>
      </c>
      <c r="X27" s="48" t="s">
        <v>44</v>
      </c>
    </row>
    <row r="28" ht="148.5" spans="1:25">
      <c r="A28" s="46">
        <v>26</v>
      </c>
      <c r="B28" s="48" t="s">
        <v>37</v>
      </c>
      <c r="C28" s="48" t="s">
        <v>38</v>
      </c>
      <c r="D28" s="63" t="s">
        <v>28</v>
      </c>
      <c r="E28" s="69">
        <v>46129</v>
      </c>
      <c r="F28" s="69">
        <v>46142</v>
      </c>
      <c r="G28" s="50">
        <f t="shared" si="0"/>
        <v>46139</v>
      </c>
      <c r="H28" s="69">
        <v>46134</v>
      </c>
      <c r="I28" s="63" t="s">
        <v>159</v>
      </c>
      <c r="J28" s="48" t="s">
        <v>29</v>
      </c>
      <c r="K28" s="65" t="s">
        <v>44</v>
      </c>
      <c r="L28" s="73" t="s">
        <v>212</v>
      </c>
      <c r="M28" s="53" t="s">
        <v>213</v>
      </c>
      <c r="N28" s="48" t="s">
        <v>42</v>
      </c>
      <c r="O28" s="48" t="s">
        <v>33</v>
      </c>
      <c r="P28" s="48" t="s">
        <v>43</v>
      </c>
      <c r="Q28" s="53" t="s">
        <v>214</v>
      </c>
      <c r="R28" s="75" t="s">
        <v>215</v>
      </c>
      <c r="S28" s="75" t="s">
        <v>216</v>
      </c>
      <c r="T28" s="48" t="s">
        <v>217</v>
      </c>
      <c r="U28" s="48" t="s">
        <v>48</v>
      </c>
      <c r="V28" s="48" t="s">
        <v>218</v>
      </c>
      <c r="W28" s="48" t="s">
        <v>50</v>
      </c>
      <c r="X28" s="48"/>
    </row>
    <row r="29" ht="247.5" spans="1:25">
      <c r="A29" s="46">
        <v>27</v>
      </c>
      <c r="B29" s="48" t="s">
        <v>72</v>
      </c>
      <c r="C29" s="48" t="s">
        <v>73</v>
      </c>
      <c r="D29" s="63" t="s">
        <v>28</v>
      </c>
      <c r="E29" s="69">
        <v>46139</v>
      </c>
      <c r="F29" s="69">
        <v>46155</v>
      </c>
      <c r="G29" s="50">
        <f t="shared" si="0"/>
        <v>46150</v>
      </c>
      <c r="H29" s="69">
        <v>46148</v>
      </c>
      <c r="I29" s="63" t="s">
        <v>159</v>
      </c>
      <c r="J29" s="48" t="s">
        <v>29</v>
      </c>
      <c r="K29" s="65" t="s">
        <v>44</v>
      </c>
      <c r="L29" s="73" t="s">
        <v>219</v>
      </c>
      <c r="M29" s="53" t="s">
        <v>220</v>
      </c>
      <c r="N29" s="48" t="s">
        <v>42</v>
      </c>
      <c r="O29" s="48" t="s">
        <v>33</v>
      </c>
      <c r="P29" s="48" t="s">
        <v>43</v>
      </c>
      <c r="Q29" s="53" t="s">
        <v>214</v>
      </c>
      <c r="R29" s="75" t="s">
        <v>221</v>
      </c>
      <c r="S29" s="75" t="s">
        <v>222</v>
      </c>
      <c r="T29" s="48" t="s">
        <v>223</v>
      </c>
      <c r="U29" s="48" t="s">
        <v>48</v>
      </c>
      <c r="V29" s="48" t="s">
        <v>64</v>
      </c>
      <c r="W29" s="48" t="s">
        <v>50</v>
      </c>
      <c r="X29" s="48"/>
    </row>
    <row r="30" customFormat="1" ht="128.25" spans="1:25">
      <c r="A30" s="46">
        <v>28</v>
      </c>
      <c r="B30" s="48" t="s">
        <v>26</v>
      </c>
      <c r="C30" s="48" t="s">
        <v>224</v>
      </c>
      <c r="D30" s="63" t="s">
        <v>53</v>
      </c>
      <c r="E30" s="69">
        <v>46139</v>
      </c>
      <c r="F30" s="69">
        <v>46155</v>
      </c>
      <c r="G30" s="50">
        <f t="shared" si="0"/>
        <v>46150</v>
      </c>
      <c r="H30" s="69">
        <v>46148</v>
      </c>
      <c r="I30" s="63" t="s">
        <v>159</v>
      </c>
      <c r="J30" s="48" t="s">
        <v>29</v>
      </c>
      <c r="K30" s="65"/>
      <c r="L30" s="53" t="s">
        <v>225</v>
      </c>
      <c r="M30" s="53" t="s">
        <v>139</v>
      </c>
      <c r="N30" s="48" t="s">
        <v>32</v>
      </c>
      <c r="O30" s="48" t="s">
        <v>33</v>
      </c>
      <c r="P30" s="48" t="s">
        <v>43</v>
      </c>
      <c r="Q30" s="53" t="s">
        <v>226</v>
      </c>
      <c r="R30" s="53" t="s">
        <v>227</v>
      </c>
      <c r="S30" s="66" t="s">
        <v>228</v>
      </c>
      <c r="T30" s="48" t="s">
        <v>229</v>
      </c>
      <c r="U30" s="48" t="s">
        <v>48</v>
      </c>
      <c r="V30" s="48" t="s">
        <v>64</v>
      </c>
      <c r="W30" s="48" t="s">
        <v>50</v>
      </c>
      <c r="X30" s="48" t="s">
        <v>50</v>
      </c>
      <c r="Y30" s="67"/>
    </row>
    <row r="31" customFormat="1" ht="128.25" spans="1:25">
      <c r="A31" s="46">
        <v>29</v>
      </c>
      <c r="B31" s="48" t="s">
        <v>108</v>
      </c>
      <c r="C31" s="48" t="s">
        <v>230</v>
      </c>
      <c r="D31" s="63" t="s">
        <v>28</v>
      </c>
      <c r="E31" s="69">
        <v>46141</v>
      </c>
      <c r="F31" s="69">
        <v>46161</v>
      </c>
      <c r="G31" s="50">
        <f t="shared" si="0"/>
        <v>46156</v>
      </c>
      <c r="H31" s="69">
        <v>46156</v>
      </c>
      <c r="I31" s="63" t="s">
        <v>39</v>
      </c>
      <c r="J31" s="48" t="s">
        <v>29</v>
      </c>
      <c r="K31" s="65"/>
      <c r="L31" s="53" t="s">
        <v>231</v>
      </c>
      <c r="M31" s="53" t="s">
        <v>213</v>
      </c>
      <c r="N31" s="48" t="s">
        <v>32</v>
      </c>
      <c r="O31" s="48" t="s">
        <v>33</v>
      </c>
      <c r="P31" s="48" t="s">
        <v>43</v>
      </c>
      <c r="Q31" s="53" t="s">
        <v>232</v>
      </c>
      <c r="R31" s="53" t="s">
        <v>233</v>
      </c>
      <c r="S31" s="66" t="s">
        <v>234</v>
      </c>
      <c r="T31" s="48" t="s">
        <v>235</v>
      </c>
      <c r="U31" s="48" t="s">
        <v>236</v>
      </c>
      <c r="V31" s="48" t="s">
        <v>64</v>
      </c>
      <c r="W31" s="48"/>
      <c r="X31" s="48"/>
      <c r="Y31" s="67"/>
    </row>
    <row r="32" customFormat="1" ht="142.5" spans="1:25">
      <c r="A32" s="46">
        <v>30</v>
      </c>
      <c r="B32" s="48" t="s">
        <v>51</v>
      </c>
      <c r="C32" s="48" t="s">
        <v>237</v>
      </c>
      <c r="D32" s="63" t="s">
        <v>53</v>
      </c>
      <c r="E32" s="50">
        <v>46133</v>
      </c>
      <c r="F32" s="50">
        <v>46142</v>
      </c>
      <c r="G32" s="50">
        <f t="shared" si="0"/>
        <v>46139</v>
      </c>
      <c r="H32" s="50">
        <v>46135</v>
      </c>
      <c r="I32" s="63" t="s">
        <v>66</v>
      </c>
      <c r="J32" s="48" t="s">
        <v>144</v>
      </c>
      <c r="K32" s="65">
        <v>0.0001</v>
      </c>
      <c r="L32" s="53" t="s">
        <v>238</v>
      </c>
      <c r="M32" s="53" t="s">
        <v>213</v>
      </c>
      <c r="N32" s="48" t="s">
        <v>92</v>
      </c>
      <c r="O32" s="48" t="s">
        <v>33</v>
      </c>
      <c r="P32" s="48" t="s">
        <v>43</v>
      </c>
      <c r="Q32" s="53" t="s">
        <v>239</v>
      </c>
      <c r="R32" s="53" t="s">
        <v>240</v>
      </c>
      <c r="S32" s="66" t="s">
        <v>241</v>
      </c>
      <c r="T32" s="48" t="s">
        <v>242</v>
      </c>
      <c r="U32" s="48" t="s">
        <v>63</v>
      </c>
      <c r="V32" s="48" t="s">
        <v>64</v>
      </c>
      <c r="W32" s="48" t="s">
        <v>50</v>
      </c>
      <c r="X32" s="48" t="s">
        <v>50</v>
      </c>
      <c r="Y32" s="67"/>
    </row>
    <row r="33" customFormat="1" ht="114" spans="1:25">
      <c r="A33" s="46">
        <v>31</v>
      </c>
      <c r="B33" s="48" t="s">
        <v>88</v>
      </c>
      <c r="C33" s="48" t="s">
        <v>243</v>
      </c>
      <c r="D33" s="63" t="s">
        <v>28</v>
      </c>
      <c r="E33" s="50">
        <v>46142</v>
      </c>
      <c r="F33" s="50">
        <v>46157</v>
      </c>
      <c r="G33" s="50">
        <f t="shared" si="0"/>
        <v>46154</v>
      </c>
      <c r="H33" s="50"/>
      <c r="I33" s="63"/>
      <c r="J33" s="48" t="s">
        <v>67</v>
      </c>
      <c r="K33" s="65">
        <v>0.0125</v>
      </c>
      <c r="L33" s="53" t="s">
        <v>244</v>
      </c>
      <c r="M33" s="53" t="s">
        <v>213</v>
      </c>
      <c r="N33" s="48" t="s">
        <v>92</v>
      </c>
      <c r="O33" s="48" t="s">
        <v>33</v>
      </c>
      <c r="P33" s="48" t="s">
        <v>103</v>
      </c>
      <c r="Q33" s="53" t="s">
        <v>245</v>
      </c>
      <c r="R33" s="53" t="s">
        <v>246</v>
      </c>
      <c r="S33" s="66"/>
      <c r="T33" s="48"/>
      <c r="U33" s="48" t="s">
        <v>136</v>
      </c>
      <c r="V33" s="48" t="s">
        <v>64</v>
      </c>
      <c r="W33" s="48"/>
      <c r="X33" s="48"/>
      <c r="Y33" s="67"/>
    </row>
    <row r="34" ht="114" spans="1:25">
      <c r="A34" s="46">
        <v>32</v>
      </c>
      <c r="B34" s="48" t="s">
        <v>124</v>
      </c>
      <c r="C34" s="48" t="s">
        <v>125</v>
      </c>
      <c r="D34" s="63" t="s">
        <v>28</v>
      </c>
      <c r="E34" s="64">
        <v>46113</v>
      </c>
      <c r="F34" s="64">
        <v>46126</v>
      </c>
      <c r="G34" s="50">
        <f t="shared" si="0"/>
        <v>46121</v>
      </c>
      <c r="H34" s="50">
        <v>46122</v>
      </c>
      <c r="I34" s="63" t="s">
        <v>39</v>
      </c>
      <c r="J34" s="48" t="s">
        <v>67</v>
      </c>
      <c r="K34" s="65">
        <v>0.0133</v>
      </c>
      <c r="L34" s="53" t="s">
        <v>247</v>
      </c>
      <c r="M34" s="53" t="s">
        <v>248</v>
      </c>
      <c r="N34" s="48" t="s">
        <v>102</v>
      </c>
      <c r="O34" s="48" t="s">
        <v>33</v>
      </c>
      <c r="P34" s="48" t="s">
        <v>43</v>
      </c>
      <c r="Q34" s="53" t="s">
        <v>249</v>
      </c>
      <c r="R34" s="53" t="s">
        <v>250</v>
      </c>
      <c r="S34" s="66" t="s">
        <v>251</v>
      </c>
      <c r="T34" s="48" t="s">
        <v>44</v>
      </c>
      <c r="U34" s="48" t="s">
        <v>198</v>
      </c>
      <c r="V34" s="48" t="s">
        <v>252</v>
      </c>
      <c r="W34" s="48" t="s">
        <v>35</v>
      </c>
      <c r="X34" s="48" t="s">
        <v>35</v>
      </c>
      <c r="Y34" s="67"/>
    </row>
    <row r="35" ht="142.5" spans="1:25">
      <c r="A35" s="46">
        <v>33</v>
      </c>
      <c r="B35" s="48" t="s">
        <v>124</v>
      </c>
      <c r="C35" s="48" t="s">
        <v>125</v>
      </c>
      <c r="D35" s="63" t="s">
        <v>28</v>
      </c>
      <c r="E35" s="64">
        <v>46114</v>
      </c>
      <c r="F35" s="64">
        <v>46127</v>
      </c>
      <c r="G35" s="50">
        <f t="shared" si="0"/>
        <v>46122</v>
      </c>
      <c r="H35" s="50">
        <v>46121</v>
      </c>
      <c r="I35" s="63" t="s">
        <v>54</v>
      </c>
      <c r="J35" s="48" t="s">
        <v>67</v>
      </c>
      <c r="K35" s="65">
        <v>1</v>
      </c>
      <c r="L35" s="53" t="s">
        <v>253</v>
      </c>
      <c r="M35" s="53" t="s">
        <v>254</v>
      </c>
      <c r="N35" s="48" t="s">
        <v>102</v>
      </c>
      <c r="O35" s="48" t="s">
        <v>59</v>
      </c>
      <c r="P35" s="48" t="s">
        <v>43</v>
      </c>
      <c r="Q35" s="53" t="s">
        <v>255</v>
      </c>
      <c r="R35" s="53" t="s">
        <v>256</v>
      </c>
      <c r="S35" s="66" t="s">
        <v>257</v>
      </c>
      <c r="T35" s="48" t="s">
        <v>258</v>
      </c>
      <c r="U35" s="48" t="s">
        <v>116</v>
      </c>
      <c r="V35" s="48" t="s">
        <v>64</v>
      </c>
      <c r="W35" s="48" t="s">
        <v>50</v>
      </c>
      <c r="X35" s="48" t="s">
        <v>50</v>
      </c>
      <c r="Y35" s="67"/>
    </row>
    <row r="36" ht="99.75" spans="1:25">
      <c r="A36" s="46">
        <v>34</v>
      </c>
      <c r="B36" s="48" t="s">
        <v>124</v>
      </c>
      <c r="C36" s="48" t="s">
        <v>259</v>
      </c>
      <c r="D36" s="63" t="s">
        <v>28</v>
      </c>
      <c r="E36" s="64">
        <v>46115</v>
      </c>
      <c r="F36" s="64">
        <v>46128</v>
      </c>
      <c r="G36" s="50">
        <f t="shared" ref="G36:G64" si="1">WORKDAY(F36,-3)</f>
        <v>46125</v>
      </c>
      <c r="H36" s="50">
        <v>46119</v>
      </c>
      <c r="I36" s="63" t="s">
        <v>159</v>
      </c>
      <c r="J36" s="48" t="s">
        <v>67</v>
      </c>
      <c r="K36" s="65">
        <v>0.0322</v>
      </c>
      <c r="L36" s="53" t="s">
        <v>260</v>
      </c>
      <c r="M36" s="53" t="s">
        <v>261</v>
      </c>
      <c r="N36" s="48" t="s">
        <v>102</v>
      </c>
      <c r="O36" s="48" t="s">
        <v>33</v>
      </c>
      <c r="P36" s="48" t="s">
        <v>43</v>
      </c>
      <c r="Q36" s="53" t="s">
        <v>262</v>
      </c>
      <c r="R36" s="53" t="s">
        <v>263</v>
      </c>
      <c r="S36" s="66" t="s">
        <v>264</v>
      </c>
      <c r="T36" s="48" t="s">
        <v>265</v>
      </c>
      <c r="U36" s="48" t="s">
        <v>198</v>
      </c>
      <c r="V36" s="48" t="s">
        <v>252</v>
      </c>
      <c r="W36" s="48" t="s">
        <v>35</v>
      </c>
      <c r="X36" s="48" t="s">
        <v>35</v>
      </c>
      <c r="Y36" s="67"/>
    </row>
    <row r="37" customFormat="1" ht="142.5" spans="1:25">
      <c r="A37" s="46">
        <v>35</v>
      </c>
      <c r="B37" s="48" t="s">
        <v>266</v>
      </c>
      <c r="C37" s="48" t="s">
        <v>267</v>
      </c>
      <c r="D37" s="63" t="s">
        <v>28</v>
      </c>
      <c r="E37" s="64">
        <v>46128</v>
      </c>
      <c r="F37" s="64">
        <v>46141</v>
      </c>
      <c r="G37" s="50">
        <f t="shared" si="1"/>
        <v>46136</v>
      </c>
      <c r="H37" s="50">
        <v>46129</v>
      </c>
      <c r="I37" s="63" t="s">
        <v>118</v>
      </c>
      <c r="J37" s="48" t="s">
        <v>29</v>
      </c>
      <c r="K37" s="65">
        <v>0.0467</v>
      </c>
      <c r="L37" s="53" t="s">
        <v>268</v>
      </c>
      <c r="M37" s="53" t="s">
        <v>269</v>
      </c>
      <c r="N37" s="48" t="s">
        <v>102</v>
      </c>
      <c r="O37" s="48" t="s">
        <v>59</v>
      </c>
      <c r="P37" s="48" t="s">
        <v>43</v>
      </c>
      <c r="Q37" s="53" t="s">
        <v>270</v>
      </c>
      <c r="R37" s="53" t="s">
        <v>271</v>
      </c>
      <c r="S37" s="66" t="s">
        <v>272</v>
      </c>
      <c r="T37" s="48" t="s">
        <v>44</v>
      </c>
      <c r="U37" s="48" t="s">
        <v>87</v>
      </c>
      <c r="V37" s="48" t="s">
        <v>64</v>
      </c>
      <c r="W37" s="48" t="s">
        <v>50</v>
      </c>
      <c r="X37" s="48" t="s">
        <v>50</v>
      </c>
      <c r="Y37" s="67" t="s">
        <v>273</v>
      </c>
    </row>
    <row r="38" ht="148.5" spans="1:25">
      <c r="A38" s="46">
        <v>36</v>
      </c>
      <c r="B38" s="48" t="s">
        <v>124</v>
      </c>
      <c r="C38" s="48" t="s">
        <v>125</v>
      </c>
      <c r="D38" s="63" t="s">
        <v>28</v>
      </c>
      <c r="E38" s="64">
        <v>46140</v>
      </c>
      <c r="F38" s="64">
        <v>46156</v>
      </c>
      <c r="G38" s="50">
        <f t="shared" si="1"/>
        <v>46153</v>
      </c>
      <c r="H38" s="64">
        <v>46153</v>
      </c>
      <c r="I38" s="63" t="s">
        <v>54</v>
      </c>
      <c r="J38" s="48" t="s">
        <v>29</v>
      </c>
      <c r="K38" s="65">
        <v>0.473</v>
      </c>
      <c r="L38" s="72" t="s">
        <v>274</v>
      </c>
      <c r="M38" s="53" t="s">
        <v>275</v>
      </c>
      <c r="N38" s="48" t="s">
        <v>102</v>
      </c>
      <c r="O38" s="48" t="s">
        <v>33</v>
      </c>
      <c r="P38" s="48" t="s">
        <v>43</v>
      </c>
      <c r="Q38" s="53" t="s">
        <v>276</v>
      </c>
      <c r="R38" s="53" t="s">
        <v>277</v>
      </c>
      <c r="S38" s="66" t="s">
        <v>278</v>
      </c>
      <c r="T38" s="48" t="s">
        <v>44</v>
      </c>
      <c r="U38" s="48" t="s">
        <v>190</v>
      </c>
      <c r="V38" s="48" t="s">
        <v>64</v>
      </c>
      <c r="W38" s="48" t="s">
        <v>35</v>
      </c>
      <c r="X38" s="48" t="s">
        <v>35</v>
      </c>
      <c r="Y38" s="67"/>
    </row>
    <row r="39" ht="142.5" spans="1:25">
      <c r="A39" s="46">
        <v>37</v>
      </c>
      <c r="B39" s="48" t="s">
        <v>124</v>
      </c>
      <c r="C39" s="48" t="s">
        <v>237</v>
      </c>
      <c r="D39" s="63" t="s">
        <v>28</v>
      </c>
      <c r="E39" s="64">
        <v>46149</v>
      </c>
      <c r="F39" s="64">
        <v>46162</v>
      </c>
      <c r="G39" s="50">
        <f t="shared" si="1"/>
        <v>46157</v>
      </c>
      <c r="H39" s="64">
        <v>46160</v>
      </c>
      <c r="I39" s="63" t="s">
        <v>153</v>
      </c>
      <c r="J39" s="48" t="s">
        <v>144</v>
      </c>
      <c r="K39" s="65">
        <v>0.0451</v>
      </c>
      <c r="L39" s="53" t="s">
        <v>279</v>
      </c>
      <c r="M39" s="53" t="s">
        <v>280</v>
      </c>
      <c r="N39" s="48" t="s">
        <v>102</v>
      </c>
      <c r="O39" s="48" t="s">
        <v>33</v>
      </c>
      <c r="P39" s="48" t="s">
        <v>43</v>
      </c>
      <c r="Q39" s="53" t="s">
        <v>44</v>
      </c>
      <c r="R39" s="53" t="s">
        <v>281</v>
      </c>
      <c r="S39" s="66" t="s">
        <v>282</v>
      </c>
      <c r="T39" s="48" t="s">
        <v>44</v>
      </c>
      <c r="U39" s="48" t="s">
        <v>190</v>
      </c>
      <c r="V39" s="48" t="s">
        <v>64</v>
      </c>
      <c r="W39" s="48" t="s">
        <v>35</v>
      </c>
      <c r="X39" s="48" t="s">
        <v>35</v>
      </c>
      <c r="Y39" s="67"/>
    </row>
    <row r="40" ht="342" spans="1:25">
      <c r="A40" s="46">
        <v>38</v>
      </c>
      <c r="B40" s="48" t="s">
        <v>72</v>
      </c>
      <c r="C40" s="48" t="s">
        <v>283</v>
      </c>
      <c r="D40" s="63" t="s">
        <v>28</v>
      </c>
      <c r="E40" s="50">
        <v>46160</v>
      </c>
      <c r="F40" s="50">
        <v>46171</v>
      </c>
      <c r="G40" s="50">
        <f t="shared" si="1"/>
        <v>46168</v>
      </c>
      <c r="H40" s="50">
        <v>46168</v>
      </c>
      <c r="I40" s="63" t="s">
        <v>54</v>
      </c>
      <c r="J40" s="48" t="s">
        <v>284</v>
      </c>
      <c r="K40" s="65" t="s">
        <v>44</v>
      </c>
      <c r="L40" s="53" t="s">
        <v>285</v>
      </c>
      <c r="M40" s="53" t="s">
        <v>286</v>
      </c>
      <c r="N40" s="48" t="s">
        <v>42</v>
      </c>
      <c r="O40" s="48" t="s">
        <v>33</v>
      </c>
      <c r="P40" s="48" t="s">
        <v>43</v>
      </c>
      <c r="Q40" s="53"/>
      <c r="R40" s="53" t="s">
        <v>287</v>
      </c>
      <c r="S40" s="66" t="s">
        <v>288</v>
      </c>
      <c r="T40" s="48" t="s">
        <v>80</v>
      </c>
      <c r="U40" s="48" t="s">
        <v>48</v>
      </c>
      <c r="V40" s="48" t="s">
        <v>64</v>
      </c>
      <c r="W40" s="48" t="s">
        <v>50</v>
      </c>
      <c r="X40" s="48"/>
      <c r="Y40" s="67"/>
    </row>
    <row r="41" ht="99.75" spans="1:25">
      <c r="A41" s="46">
        <v>39</v>
      </c>
      <c r="B41" s="48" t="s">
        <v>26</v>
      </c>
      <c r="C41" s="48" t="s">
        <v>289</v>
      </c>
      <c r="D41" s="63" t="s">
        <v>28</v>
      </c>
      <c r="E41" s="50">
        <v>46168</v>
      </c>
      <c r="F41" s="50">
        <v>46198</v>
      </c>
      <c r="G41" s="50">
        <f t="shared" si="1"/>
        <v>46195</v>
      </c>
      <c r="H41" s="50"/>
      <c r="I41" s="63"/>
      <c r="J41" s="48" t="s">
        <v>29</v>
      </c>
      <c r="K41" s="65" t="s">
        <v>44</v>
      </c>
      <c r="L41" s="53" t="s">
        <v>290</v>
      </c>
      <c r="M41" s="53" t="s">
        <v>286</v>
      </c>
      <c r="N41" s="48" t="s">
        <v>32</v>
      </c>
      <c r="O41" s="48" t="s">
        <v>33</v>
      </c>
      <c r="P41" s="48" t="s">
        <v>291</v>
      </c>
      <c r="Q41" s="53"/>
      <c r="R41" s="53"/>
      <c r="S41" s="66"/>
      <c r="T41" s="48"/>
      <c r="U41" s="48"/>
      <c r="V41" s="48"/>
      <c r="W41" s="48"/>
      <c r="X41" s="48"/>
      <c r="Y41" s="67"/>
    </row>
    <row r="42" ht="171" spans="1:25">
      <c r="A42" s="46">
        <v>40</v>
      </c>
      <c r="B42" s="48" t="s">
        <v>72</v>
      </c>
      <c r="C42" s="48" t="s">
        <v>292</v>
      </c>
      <c r="D42" s="63" t="s">
        <v>28</v>
      </c>
      <c r="E42" s="50">
        <v>46161</v>
      </c>
      <c r="F42" s="50">
        <v>46175</v>
      </c>
      <c r="G42" s="50">
        <f t="shared" si="1"/>
        <v>46170</v>
      </c>
      <c r="H42" s="50">
        <v>46175</v>
      </c>
      <c r="I42" s="63" t="s">
        <v>293</v>
      </c>
      <c r="J42" s="48" t="s">
        <v>284</v>
      </c>
      <c r="K42" s="65" t="s">
        <v>44</v>
      </c>
      <c r="L42" s="68" t="s">
        <v>294</v>
      </c>
      <c r="M42" s="53" t="s">
        <v>295</v>
      </c>
      <c r="N42" s="48" t="s">
        <v>42</v>
      </c>
      <c r="O42" s="48" t="s">
        <v>33</v>
      </c>
      <c r="P42" s="48" t="s">
        <v>43</v>
      </c>
      <c r="Q42" s="53" t="s">
        <v>296</v>
      </c>
      <c r="R42" s="71" t="s">
        <v>297</v>
      </c>
      <c r="S42" s="71" t="s">
        <v>298</v>
      </c>
      <c r="T42" s="48" t="s">
        <v>299</v>
      </c>
      <c r="U42" s="48" t="s">
        <v>173</v>
      </c>
      <c r="V42" s="48" t="s">
        <v>64</v>
      </c>
      <c r="W42" s="48" t="s">
        <v>35</v>
      </c>
      <c r="X42" s="48"/>
      <c r="Y42" s="67"/>
    </row>
    <row r="43" ht="342" spans="1:25">
      <c r="A43" s="46">
        <v>41</v>
      </c>
      <c r="B43" s="48" t="s">
        <v>37</v>
      </c>
      <c r="C43" s="48" t="s">
        <v>38</v>
      </c>
      <c r="D43" s="63" t="s">
        <v>28</v>
      </c>
      <c r="E43" s="50">
        <v>46167</v>
      </c>
      <c r="F43" s="50">
        <v>46181</v>
      </c>
      <c r="G43" s="50">
        <f t="shared" si="1"/>
        <v>46176</v>
      </c>
      <c r="H43" s="50">
        <v>46170</v>
      </c>
      <c r="I43" s="63" t="s">
        <v>159</v>
      </c>
      <c r="J43" s="48" t="s">
        <v>29</v>
      </c>
      <c r="K43" s="65" t="s">
        <v>44</v>
      </c>
      <c r="L43" s="53" t="s">
        <v>300</v>
      </c>
      <c r="M43" s="53" t="s">
        <v>301</v>
      </c>
      <c r="N43" s="48" t="s">
        <v>42</v>
      </c>
      <c r="O43" s="48" t="s">
        <v>33</v>
      </c>
      <c r="P43" s="48" t="s">
        <v>43</v>
      </c>
      <c r="Q43" s="53" t="s">
        <v>302</v>
      </c>
      <c r="R43" s="53" t="s">
        <v>303</v>
      </c>
      <c r="S43" s="66" t="s">
        <v>304</v>
      </c>
      <c r="T43" s="48" t="s">
        <v>80</v>
      </c>
      <c r="U43" s="48" t="s">
        <v>48</v>
      </c>
      <c r="V43" s="48" t="s">
        <v>64</v>
      </c>
      <c r="W43" s="48" t="s">
        <v>50</v>
      </c>
      <c r="X43" s="48"/>
      <c r="Y43" s="67"/>
    </row>
    <row r="44" ht="153" customHeight="1" spans="1:25">
      <c r="A44" s="46">
        <v>42</v>
      </c>
      <c r="B44" s="48" t="s">
        <v>37</v>
      </c>
      <c r="C44" s="48" t="s">
        <v>38</v>
      </c>
      <c r="D44" s="63" t="s">
        <v>53</v>
      </c>
      <c r="E44" s="50">
        <v>46164</v>
      </c>
      <c r="F44" s="50">
        <v>46175</v>
      </c>
      <c r="G44" s="50">
        <f t="shared" si="1"/>
        <v>46170</v>
      </c>
      <c r="H44" s="50">
        <v>46175</v>
      </c>
      <c r="I44" s="63" t="s">
        <v>153</v>
      </c>
      <c r="J44" s="48" t="s">
        <v>144</v>
      </c>
      <c r="K44" s="65" t="s">
        <v>44</v>
      </c>
      <c r="L44" s="53" t="s">
        <v>305</v>
      </c>
      <c r="M44" s="53" t="s">
        <v>286</v>
      </c>
      <c r="N44" s="48" t="s">
        <v>42</v>
      </c>
      <c r="O44" s="48" t="s">
        <v>33</v>
      </c>
      <c r="P44" s="48" t="s">
        <v>43</v>
      </c>
      <c r="Q44" s="53"/>
      <c r="R44" s="53" t="s">
        <v>306</v>
      </c>
      <c r="S44" s="66" t="s">
        <v>307</v>
      </c>
      <c r="T44" s="48" t="s">
        <v>217</v>
      </c>
      <c r="U44" s="48" t="s">
        <v>63</v>
      </c>
      <c r="V44" s="48" t="s">
        <v>218</v>
      </c>
      <c r="W44" s="48" t="s">
        <v>50</v>
      </c>
      <c r="X44" s="48"/>
      <c r="Y44" s="67"/>
    </row>
    <row r="45" ht="163.5" customHeight="1" spans="1:25">
      <c r="A45" s="46">
        <v>43</v>
      </c>
      <c r="B45" s="48" t="s">
        <v>88</v>
      </c>
      <c r="C45" s="48" t="s">
        <v>133</v>
      </c>
      <c r="D45" s="63" t="s">
        <v>28</v>
      </c>
      <c r="E45" s="50">
        <v>46160</v>
      </c>
      <c r="F45" s="50">
        <v>46174</v>
      </c>
      <c r="G45" s="50">
        <f t="shared" si="1"/>
        <v>46169</v>
      </c>
      <c r="H45" s="50">
        <v>46170</v>
      </c>
      <c r="I45" s="63" t="s">
        <v>39</v>
      </c>
      <c r="J45" s="48" t="s">
        <v>67</v>
      </c>
      <c r="K45" s="65">
        <v>0.016</v>
      </c>
      <c r="L45" s="72" t="s">
        <v>308</v>
      </c>
      <c r="M45" s="53" t="s">
        <v>286</v>
      </c>
      <c r="N45" s="48" t="s">
        <v>92</v>
      </c>
      <c r="O45" s="48" t="s">
        <v>59</v>
      </c>
      <c r="P45" s="48" t="s">
        <v>43</v>
      </c>
      <c r="Q45" s="53" t="s">
        <v>309</v>
      </c>
      <c r="R45" s="53" t="s">
        <v>310</v>
      </c>
      <c r="S45" s="66" t="s">
        <v>311</v>
      </c>
      <c r="T45" s="48" t="s">
        <v>312</v>
      </c>
      <c r="U45" s="48" t="s">
        <v>116</v>
      </c>
      <c r="V45" s="48" t="s">
        <v>64</v>
      </c>
      <c r="W45" s="48" t="s">
        <v>50</v>
      </c>
      <c r="X45" s="48"/>
      <c r="Y45" s="67"/>
    </row>
    <row r="46" ht="299.25" spans="1:25">
      <c r="A46" s="46">
        <v>44</v>
      </c>
      <c r="B46" s="48" t="s">
        <v>88</v>
      </c>
      <c r="C46" s="48" t="s">
        <v>133</v>
      </c>
      <c r="D46" s="63" t="s">
        <v>28</v>
      </c>
      <c r="E46" s="50">
        <v>46164</v>
      </c>
      <c r="F46" s="50">
        <v>46178</v>
      </c>
      <c r="G46" s="50">
        <f t="shared" si="1"/>
        <v>46175</v>
      </c>
      <c r="H46" s="50">
        <v>46174</v>
      </c>
      <c r="I46" s="63" t="s">
        <v>54</v>
      </c>
      <c r="J46" s="48" t="s">
        <v>67</v>
      </c>
      <c r="K46" s="65">
        <v>1</v>
      </c>
      <c r="L46" s="72" t="s">
        <v>313</v>
      </c>
      <c r="M46" s="53" t="s">
        <v>286</v>
      </c>
      <c r="N46" s="48" t="s">
        <v>92</v>
      </c>
      <c r="O46" s="48" t="s">
        <v>59</v>
      </c>
      <c r="P46" s="48" t="s">
        <v>43</v>
      </c>
      <c r="Q46" s="53" t="s">
        <v>314</v>
      </c>
      <c r="R46" s="53" t="s">
        <v>315</v>
      </c>
      <c r="S46" s="66" t="s">
        <v>316</v>
      </c>
      <c r="T46" s="48" t="s">
        <v>317</v>
      </c>
      <c r="U46" s="48" t="s">
        <v>136</v>
      </c>
      <c r="V46" s="48" t="s">
        <v>64</v>
      </c>
      <c r="W46" s="48" t="s">
        <v>50</v>
      </c>
      <c r="X46" s="48"/>
      <c r="Y46" s="67"/>
    </row>
    <row r="47" ht="149.25" customHeight="1" spans="1:25">
      <c r="A47" s="46">
        <v>45</v>
      </c>
      <c r="B47" s="48" t="s">
        <v>124</v>
      </c>
      <c r="C47" s="48" t="s">
        <v>237</v>
      </c>
      <c r="D47" s="63" t="s">
        <v>28</v>
      </c>
      <c r="E47" s="64">
        <v>46153</v>
      </c>
      <c r="F47" s="64">
        <v>46164</v>
      </c>
      <c r="G47" s="50">
        <f t="shared" si="1"/>
        <v>46161</v>
      </c>
      <c r="H47" s="50">
        <v>46162</v>
      </c>
      <c r="I47" s="63" t="s">
        <v>39</v>
      </c>
      <c r="J47" s="48" t="s">
        <v>144</v>
      </c>
      <c r="K47" s="65">
        <v>1</v>
      </c>
      <c r="L47" s="53" t="s">
        <v>318</v>
      </c>
      <c r="M47" s="53" t="s">
        <v>319</v>
      </c>
      <c r="N47" s="48" t="s">
        <v>102</v>
      </c>
      <c r="O47" s="48" t="s">
        <v>59</v>
      </c>
      <c r="P47" s="48" t="s">
        <v>43</v>
      </c>
      <c r="Q47" s="53" t="s">
        <v>320</v>
      </c>
      <c r="R47" s="53" t="s">
        <v>321</v>
      </c>
      <c r="S47" s="66" t="s">
        <v>322</v>
      </c>
      <c r="T47" s="48" t="s">
        <v>323</v>
      </c>
      <c r="U47" s="48" t="s">
        <v>164</v>
      </c>
      <c r="V47" s="48" t="s">
        <v>64</v>
      </c>
      <c r="W47" s="48" t="s">
        <v>50</v>
      </c>
      <c r="X47" s="48" t="s">
        <v>50</v>
      </c>
      <c r="Y47" s="67"/>
    </row>
    <row r="48" ht="149.25" customHeight="1" spans="1:25">
      <c r="A48" s="46">
        <v>46</v>
      </c>
      <c r="B48" s="48" t="s">
        <v>124</v>
      </c>
      <c r="C48" s="48" t="s">
        <v>125</v>
      </c>
      <c r="D48" s="63" t="s">
        <v>28</v>
      </c>
      <c r="E48" s="64">
        <v>46162</v>
      </c>
      <c r="F48" s="64">
        <v>46175</v>
      </c>
      <c r="G48" s="50">
        <f t="shared" si="1"/>
        <v>46170</v>
      </c>
      <c r="H48" s="64">
        <v>46168</v>
      </c>
      <c r="I48" s="63" t="s">
        <v>110</v>
      </c>
      <c r="J48" s="48" t="s">
        <v>29</v>
      </c>
      <c r="K48" s="65">
        <v>0.0038</v>
      </c>
      <c r="L48" s="53" t="s">
        <v>324</v>
      </c>
      <c r="M48" s="53" t="s">
        <v>325</v>
      </c>
      <c r="N48" s="48" t="s">
        <v>102</v>
      </c>
      <c r="O48" s="48" t="s">
        <v>59</v>
      </c>
      <c r="P48" s="48" t="s">
        <v>43</v>
      </c>
      <c r="Q48" s="53" t="s">
        <v>326</v>
      </c>
      <c r="R48" s="53" t="s">
        <v>327</v>
      </c>
      <c r="S48" s="66" t="s">
        <v>328</v>
      </c>
      <c r="T48" s="48" t="s">
        <v>329</v>
      </c>
      <c r="U48" s="48" t="s">
        <v>330</v>
      </c>
      <c r="V48" s="48" t="s">
        <v>64</v>
      </c>
      <c r="W48" s="48" t="s">
        <v>35</v>
      </c>
      <c r="X48" s="48" t="s">
        <v>35</v>
      </c>
      <c r="Y48" s="67" t="s">
        <v>199</v>
      </c>
    </row>
    <row r="49" ht="149.25" customHeight="1" spans="1:25">
      <c r="A49" s="46">
        <v>47</v>
      </c>
      <c r="B49" s="48" t="s">
        <v>98</v>
      </c>
      <c r="C49" s="48" t="s">
        <v>52</v>
      </c>
      <c r="D49" s="63" t="s">
        <v>28</v>
      </c>
      <c r="E49" s="64">
        <v>46161</v>
      </c>
      <c r="F49" s="64">
        <v>46174</v>
      </c>
      <c r="G49" s="50">
        <f t="shared" si="1"/>
        <v>46169</v>
      </c>
      <c r="H49" s="64">
        <v>46168</v>
      </c>
      <c r="I49" s="63" t="s">
        <v>54</v>
      </c>
      <c r="J49" s="48" t="s">
        <v>55</v>
      </c>
      <c r="K49" s="65">
        <v>0.545</v>
      </c>
      <c r="L49" s="53" t="s">
        <v>331</v>
      </c>
      <c r="M49" s="53" t="s">
        <v>332</v>
      </c>
      <c r="N49" s="48" t="s">
        <v>102</v>
      </c>
      <c r="O49" s="48" t="s">
        <v>59</v>
      </c>
      <c r="P49" s="48" t="s">
        <v>43</v>
      </c>
      <c r="Q49" s="53" t="s">
        <v>333</v>
      </c>
      <c r="R49" s="53" t="s">
        <v>334</v>
      </c>
      <c r="S49" s="66" t="s">
        <v>335</v>
      </c>
      <c r="T49" s="48" t="s">
        <v>336</v>
      </c>
      <c r="U49" s="48" t="s">
        <v>198</v>
      </c>
      <c r="V49" s="48" t="s">
        <v>64</v>
      </c>
      <c r="W49" s="48" t="s">
        <v>50</v>
      </c>
      <c r="X49" s="48" t="s">
        <v>50</v>
      </c>
      <c r="Y49" s="67"/>
    </row>
    <row r="50" ht="114" spans="1:25">
      <c r="A50" s="46">
        <v>48</v>
      </c>
      <c r="B50" s="76" t="s">
        <v>124</v>
      </c>
      <c r="C50" s="76" t="s">
        <v>125</v>
      </c>
      <c r="D50" s="63" t="s">
        <v>28</v>
      </c>
      <c r="E50" s="64">
        <v>46163</v>
      </c>
      <c r="F50" s="64">
        <v>46176</v>
      </c>
      <c r="G50" s="50">
        <f t="shared" si="1"/>
        <v>46171</v>
      </c>
      <c r="H50" s="64">
        <v>46171</v>
      </c>
      <c r="I50" s="63" t="s">
        <v>153</v>
      </c>
      <c r="J50" s="48" t="s">
        <v>29</v>
      </c>
      <c r="K50" s="65">
        <v>1</v>
      </c>
      <c r="L50" s="53" t="s">
        <v>337</v>
      </c>
      <c r="M50" s="53" t="s">
        <v>338</v>
      </c>
      <c r="N50" s="48" t="s">
        <v>102</v>
      </c>
      <c r="O50" s="48" t="s">
        <v>59</v>
      </c>
      <c r="P50" s="48" t="s">
        <v>43</v>
      </c>
      <c r="Q50" s="53" t="s">
        <v>339</v>
      </c>
      <c r="R50" s="77" t="s">
        <v>340</v>
      </c>
      <c r="S50" s="77" t="s">
        <v>341</v>
      </c>
      <c r="T50" s="48" t="s">
        <v>342</v>
      </c>
      <c r="U50" s="48" t="s">
        <v>116</v>
      </c>
      <c r="V50" s="48" t="s">
        <v>64</v>
      </c>
      <c r="W50" s="48" t="s">
        <v>50</v>
      </c>
      <c r="X50" s="48" t="s">
        <v>50</v>
      </c>
      <c r="Y50" s="67"/>
    </row>
    <row r="51" ht="114" spans="1:25">
      <c r="A51" s="46">
        <v>49</v>
      </c>
      <c r="B51" s="76" t="s">
        <v>37</v>
      </c>
      <c r="C51" s="76" t="s">
        <v>38</v>
      </c>
      <c r="D51" s="63" t="s">
        <v>28</v>
      </c>
      <c r="E51" s="64">
        <v>46167</v>
      </c>
      <c r="F51" s="64">
        <v>46180</v>
      </c>
      <c r="G51" s="50">
        <f t="shared" si="1"/>
        <v>46176</v>
      </c>
      <c r="H51" s="64">
        <v>46170</v>
      </c>
      <c r="I51" s="63" t="s">
        <v>159</v>
      </c>
      <c r="J51" s="48" t="s">
        <v>29</v>
      </c>
      <c r="K51" s="65" t="s">
        <v>44</v>
      </c>
      <c r="L51" s="53" t="s">
        <v>343</v>
      </c>
      <c r="M51" s="53" t="s">
        <v>344</v>
      </c>
      <c r="N51" s="48" t="s">
        <v>42</v>
      </c>
      <c r="O51" s="48" t="s">
        <v>33</v>
      </c>
      <c r="P51" s="48" t="s">
        <v>43</v>
      </c>
      <c r="Q51" s="53" t="s">
        <v>345</v>
      </c>
      <c r="R51" s="71" t="s">
        <v>346</v>
      </c>
      <c r="S51" s="71" t="s">
        <v>347</v>
      </c>
      <c r="T51" s="48" t="s">
        <v>80</v>
      </c>
      <c r="U51" s="48" t="s">
        <v>48</v>
      </c>
      <c r="V51" s="48" t="s">
        <v>64</v>
      </c>
      <c r="W51" s="48" t="s">
        <v>50</v>
      </c>
      <c r="X51" s="48"/>
      <c r="Y51" s="67"/>
    </row>
    <row r="52" ht="128.25" spans="1:25">
      <c r="A52" s="46">
        <v>50</v>
      </c>
      <c r="B52" s="48" t="s">
        <v>98</v>
      </c>
      <c r="C52" s="48" t="s">
        <v>348</v>
      </c>
      <c r="D52" s="63" t="s">
        <v>28</v>
      </c>
      <c r="E52" s="64">
        <v>46168</v>
      </c>
      <c r="F52" s="64">
        <v>46181</v>
      </c>
      <c r="G52" s="50">
        <f t="shared" si="1"/>
        <v>46176</v>
      </c>
      <c r="H52" s="50"/>
      <c r="I52" s="63"/>
      <c r="J52" s="48" t="s">
        <v>29</v>
      </c>
      <c r="K52" s="65">
        <v>0.02</v>
      </c>
      <c r="L52" s="53" t="s">
        <v>349</v>
      </c>
      <c r="M52" s="53" t="s">
        <v>350</v>
      </c>
      <c r="N52" s="48" t="s">
        <v>102</v>
      </c>
      <c r="O52" s="48" t="s">
        <v>33</v>
      </c>
      <c r="P52" s="48" t="s">
        <v>43</v>
      </c>
      <c r="Q52" s="53" t="s">
        <v>44</v>
      </c>
      <c r="R52" s="53" t="s">
        <v>351</v>
      </c>
      <c r="S52" s="66" t="s">
        <v>352</v>
      </c>
      <c r="T52" s="48" t="s">
        <v>353</v>
      </c>
      <c r="U52" s="48" t="s">
        <v>164</v>
      </c>
      <c r="V52" s="48" t="s">
        <v>64</v>
      </c>
      <c r="W52" s="48" t="s">
        <v>50</v>
      </c>
      <c r="X52" s="48" t="s">
        <v>35</v>
      </c>
      <c r="Y52" s="67" t="s">
        <v>354</v>
      </c>
    </row>
    <row r="53" ht="384.75" spans="1:25">
      <c r="A53" s="46">
        <v>51</v>
      </c>
      <c r="B53" s="48" t="s">
        <v>124</v>
      </c>
      <c r="C53" s="48" t="s">
        <v>125</v>
      </c>
      <c r="D53" s="63" t="s">
        <v>28</v>
      </c>
      <c r="E53" s="64">
        <v>46168</v>
      </c>
      <c r="F53" s="64">
        <v>46181</v>
      </c>
      <c r="G53" s="50">
        <f t="shared" si="1"/>
        <v>46176</v>
      </c>
      <c r="H53" s="50">
        <v>46170</v>
      </c>
      <c r="I53" s="63" t="s">
        <v>159</v>
      </c>
      <c r="J53" s="48" t="s">
        <v>29</v>
      </c>
      <c r="K53" s="65">
        <v>0.0323</v>
      </c>
      <c r="L53" s="53" t="s">
        <v>355</v>
      </c>
      <c r="M53" s="53" t="s">
        <v>356</v>
      </c>
      <c r="N53" s="48" t="s">
        <v>102</v>
      </c>
      <c r="O53" s="48" t="s">
        <v>59</v>
      </c>
      <c r="P53" s="48" t="s">
        <v>43</v>
      </c>
      <c r="Q53" s="53" t="s">
        <v>357</v>
      </c>
      <c r="R53" s="53" t="s">
        <v>310</v>
      </c>
      <c r="S53" s="66" t="s">
        <v>311</v>
      </c>
      <c r="T53" s="48" t="s">
        <v>312</v>
      </c>
      <c r="U53" s="48" t="s">
        <v>116</v>
      </c>
      <c r="V53" s="48" t="s">
        <v>64</v>
      </c>
      <c r="W53" s="48" t="s">
        <v>50</v>
      </c>
      <c r="X53" s="48"/>
      <c r="Y53" s="67"/>
    </row>
    <row r="54" ht="136.5" customHeight="1" spans="1:25">
      <c r="A54" s="46">
        <v>52</v>
      </c>
      <c r="B54" s="48" t="s">
        <v>266</v>
      </c>
      <c r="C54" s="48" t="s">
        <v>38</v>
      </c>
      <c r="D54" s="63" t="s">
        <v>28</v>
      </c>
      <c r="E54" s="64">
        <v>46170</v>
      </c>
      <c r="F54" s="64">
        <v>46183</v>
      </c>
      <c r="G54" s="50">
        <f t="shared" si="1"/>
        <v>46178</v>
      </c>
      <c r="H54" s="50"/>
      <c r="I54" s="63"/>
      <c r="J54" s="48" t="s">
        <v>29</v>
      </c>
      <c r="K54" s="65" t="s">
        <v>44</v>
      </c>
      <c r="L54" s="53" t="s">
        <v>358</v>
      </c>
      <c r="M54" s="53" t="s">
        <v>359</v>
      </c>
      <c r="N54" s="48" t="s">
        <v>102</v>
      </c>
      <c r="O54" s="48" t="s">
        <v>59</v>
      </c>
      <c r="P54" s="48" t="s">
        <v>43</v>
      </c>
      <c r="Q54" s="53" t="s">
        <v>44</v>
      </c>
      <c r="R54" s="53" t="s">
        <v>360</v>
      </c>
      <c r="S54" s="66" t="s">
        <v>361</v>
      </c>
      <c r="T54" s="48" t="s">
        <v>362</v>
      </c>
      <c r="U54" s="48" t="s">
        <v>63</v>
      </c>
      <c r="V54" s="48" t="s">
        <v>64</v>
      </c>
      <c r="W54" s="48" t="s">
        <v>50</v>
      </c>
      <c r="X54" s="48" t="s">
        <v>50</v>
      </c>
      <c r="Y54" s="67"/>
    </row>
    <row r="55" ht="136.5" customHeight="1" spans="1:25">
      <c r="A55" s="46">
        <v>53</v>
      </c>
      <c r="B55" s="48" t="s">
        <v>72</v>
      </c>
      <c r="C55" s="48" t="s">
        <v>283</v>
      </c>
      <c r="D55" s="63" t="s">
        <v>28</v>
      </c>
      <c r="E55" s="64">
        <v>46174</v>
      </c>
      <c r="F55" s="64">
        <v>46188</v>
      </c>
      <c r="G55" s="50">
        <f t="shared" si="1"/>
        <v>46183</v>
      </c>
      <c r="H55" s="64">
        <v>46181</v>
      </c>
      <c r="I55" s="63" t="s">
        <v>110</v>
      </c>
      <c r="J55" s="48" t="s">
        <v>29</v>
      </c>
      <c r="K55" s="65" t="s">
        <v>44</v>
      </c>
      <c r="L55" s="53" t="s">
        <v>363</v>
      </c>
      <c r="M55" s="53" t="s">
        <v>364</v>
      </c>
      <c r="N55" s="48" t="s">
        <v>42</v>
      </c>
      <c r="O55" s="48" t="s">
        <v>33</v>
      </c>
      <c r="P55" s="48" t="s">
        <v>43</v>
      </c>
      <c r="Q55" s="53" t="s">
        <v>365</v>
      </c>
      <c r="R55" s="53" t="s">
        <v>366</v>
      </c>
      <c r="S55" s="66" t="s">
        <v>367</v>
      </c>
      <c r="T55" s="48" t="s">
        <v>80</v>
      </c>
      <c r="U55" s="48" t="s">
        <v>48</v>
      </c>
      <c r="V55" s="48" t="s">
        <v>64</v>
      </c>
      <c r="W55" s="48" t="s">
        <v>50</v>
      </c>
      <c r="X55" s="48"/>
      <c r="Y55" s="67"/>
    </row>
    <row r="56" ht="85.5" spans="1:25">
      <c r="A56" s="46">
        <v>54</v>
      </c>
      <c r="B56" s="48" t="s">
        <v>108</v>
      </c>
      <c r="C56" s="48" t="s">
        <v>368</v>
      </c>
      <c r="D56" s="63" t="s">
        <v>28</v>
      </c>
      <c r="E56" s="64">
        <v>46175</v>
      </c>
      <c r="F56" s="64">
        <v>46189</v>
      </c>
      <c r="G56" s="50">
        <f t="shared" si="1"/>
        <v>46184</v>
      </c>
      <c r="H56" s="64">
        <v>46188</v>
      </c>
      <c r="I56" s="63" t="s">
        <v>369</v>
      </c>
      <c r="J56" s="48" t="s">
        <v>29</v>
      </c>
      <c r="K56" s="65">
        <v>0.005</v>
      </c>
      <c r="L56" s="53" t="s">
        <v>370</v>
      </c>
      <c r="M56" s="53" t="s">
        <v>371</v>
      </c>
      <c r="N56" s="48" t="s">
        <v>32</v>
      </c>
      <c r="O56" s="48" t="s">
        <v>33</v>
      </c>
      <c r="P56" s="48" t="s">
        <v>43</v>
      </c>
      <c r="Q56" s="53" t="s">
        <v>372</v>
      </c>
      <c r="R56" s="56" t="s">
        <v>373</v>
      </c>
      <c r="S56" s="56" t="s">
        <v>374</v>
      </c>
      <c r="T56" s="48" t="s">
        <v>375</v>
      </c>
      <c r="U56" s="48" t="s">
        <v>236</v>
      </c>
      <c r="V56" s="48" t="s">
        <v>64</v>
      </c>
      <c r="W56" s="48" t="s">
        <v>50</v>
      </c>
      <c r="X56" s="48" t="s">
        <v>50</v>
      </c>
      <c r="Y56" s="67"/>
    </row>
    <row r="57" ht="99.75" spans="1:25">
      <c r="A57" s="46">
        <v>55</v>
      </c>
      <c r="B57" s="48" t="s">
        <v>108</v>
      </c>
      <c r="C57" s="48" t="s">
        <v>224</v>
      </c>
      <c r="D57" s="63" t="s">
        <v>28</v>
      </c>
      <c r="E57" s="64">
        <v>46178</v>
      </c>
      <c r="F57" s="64">
        <v>46192</v>
      </c>
      <c r="G57" s="50">
        <f t="shared" si="1"/>
        <v>46189</v>
      </c>
      <c r="H57" s="64">
        <v>46188</v>
      </c>
      <c r="I57" s="63" t="s">
        <v>54</v>
      </c>
      <c r="J57" s="48" t="s">
        <v>376</v>
      </c>
      <c r="K57" s="65">
        <v>0.2667</v>
      </c>
      <c r="L57" s="68" t="s">
        <v>377</v>
      </c>
      <c r="M57" s="53" t="s">
        <v>378</v>
      </c>
      <c r="N57" s="48" t="s">
        <v>32</v>
      </c>
      <c r="O57" s="48" t="s">
        <v>33</v>
      </c>
      <c r="P57" s="48" t="s">
        <v>43</v>
      </c>
      <c r="Q57" s="53" t="s">
        <v>379</v>
      </c>
      <c r="R57" s="53" t="s">
        <v>380</v>
      </c>
      <c r="S57" s="66" t="s">
        <v>381</v>
      </c>
      <c r="T57" s="48" t="s">
        <v>96</v>
      </c>
      <c r="U57" s="48" t="s">
        <v>136</v>
      </c>
      <c r="V57" s="48" t="s">
        <v>49</v>
      </c>
      <c r="W57" s="48" t="s">
        <v>50</v>
      </c>
      <c r="X57" s="48" t="s">
        <v>50</v>
      </c>
      <c r="Y57" s="67"/>
    </row>
    <row r="58" ht="99.75" spans="1:25">
      <c r="A58" s="46">
        <v>56</v>
      </c>
      <c r="B58" s="48" t="s">
        <v>108</v>
      </c>
      <c r="C58" s="48" t="s">
        <v>224</v>
      </c>
      <c r="D58" s="63" t="s">
        <v>28</v>
      </c>
      <c r="E58" s="64">
        <v>46178</v>
      </c>
      <c r="F58" s="64">
        <v>46192</v>
      </c>
      <c r="G58" s="50">
        <f t="shared" si="1"/>
        <v>46189</v>
      </c>
      <c r="H58" s="50"/>
      <c r="I58" s="63"/>
      <c r="J58" s="48" t="s">
        <v>382</v>
      </c>
      <c r="K58" s="65">
        <v>0.12</v>
      </c>
      <c r="L58" s="68" t="s">
        <v>383</v>
      </c>
      <c r="M58" s="53" t="s">
        <v>378</v>
      </c>
      <c r="N58" s="48" t="s">
        <v>32</v>
      </c>
      <c r="O58" s="48" t="s">
        <v>33</v>
      </c>
      <c r="P58" s="48" t="s">
        <v>291</v>
      </c>
      <c r="Q58" s="53"/>
      <c r="R58" s="53"/>
      <c r="S58" s="66"/>
      <c r="T58" s="48"/>
      <c r="U58" s="48"/>
      <c r="V58" s="48"/>
      <c r="W58" s="48"/>
      <c r="X58" s="48"/>
      <c r="Y58" s="67"/>
    </row>
    <row r="59" ht="159" customHeight="1" spans="1:25">
      <c r="A59" s="46">
        <v>57</v>
      </c>
      <c r="B59" s="48" t="s">
        <v>37</v>
      </c>
      <c r="C59" s="48" t="s">
        <v>38</v>
      </c>
      <c r="D59" s="63" t="s">
        <v>28</v>
      </c>
      <c r="E59" s="64">
        <v>46188</v>
      </c>
      <c r="F59" s="64">
        <v>46202</v>
      </c>
      <c r="G59" s="50">
        <f t="shared" si="1"/>
        <v>46197</v>
      </c>
      <c r="H59" s="64">
        <v>46197</v>
      </c>
      <c r="I59" s="63" t="s">
        <v>153</v>
      </c>
      <c r="J59" s="48" t="s">
        <v>29</v>
      </c>
      <c r="K59" s="65">
        <v>0.0165</v>
      </c>
      <c r="L59" s="68" t="s">
        <v>384</v>
      </c>
      <c r="M59" s="53" t="s">
        <v>385</v>
      </c>
      <c r="N59" s="48" t="s">
        <v>42</v>
      </c>
      <c r="O59" s="48" t="s">
        <v>33</v>
      </c>
      <c r="P59" s="48" t="s">
        <v>43</v>
      </c>
      <c r="Q59" s="53" t="s">
        <v>386</v>
      </c>
      <c r="R59" s="66" t="s">
        <v>387</v>
      </c>
      <c r="S59" s="66" t="s">
        <v>388</v>
      </c>
      <c r="T59" s="48" t="s">
        <v>217</v>
      </c>
      <c r="U59" s="48" t="s">
        <v>48</v>
      </c>
      <c r="V59" s="48" t="s">
        <v>218</v>
      </c>
      <c r="W59" s="48" t="s">
        <v>50</v>
      </c>
      <c r="X59" s="48"/>
      <c r="Y59" s="67"/>
    </row>
    <row r="60" ht="132" customHeight="1" spans="1:25">
      <c r="A60" s="46">
        <v>58</v>
      </c>
      <c r="B60" s="48" t="s">
        <v>37</v>
      </c>
      <c r="C60" s="48" t="s">
        <v>38</v>
      </c>
      <c r="D60" s="63" t="s">
        <v>28</v>
      </c>
      <c r="E60" s="50">
        <v>46191</v>
      </c>
      <c r="F60" s="64">
        <v>46206</v>
      </c>
      <c r="G60" s="50">
        <f t="shared" ref="G60:G73" si="2">WORKDAY(F60,-3)</f>
        <v>46203</v>
      </c>
      <c r="H60" s="50"/>
      <c r="I60" s="63"/>
      <c r="J60" s="48" t="s">
        <v>29</v>
      </c>
      <c r="K60" s="65" t="s">
        <v>44</v>
      </c>
      <c r="L60" s="53" t="s">
        <v>389</v>
      </c>
      <c r="M60" s="53" t="s">
        <v>390</v>
      </c>
      <c r="N60" s="48" t="s">
        <v>42</v>
      </c>
      <c r="O60" s="48" t="s">
        <v>33</v>
      </c>
      <c r="P60" s="48" t="s">
        <v>291</v>
      </c>
      <c r="Q60" s="53"/>
      <c r="R60" s="53"/>
      <c r="S60" s="66"/>
      <c r="T60" s="48"/>
      <c r="U60" s="48"/>
      <c r="V60" s="48"/>
      <c r="W60" s="48"/>
      <c r="X60" s="48"/>
      <c r="Y60" s="67"/>
    </row>
    <row r="61" ht="132" customHeight="1" spans="1:25">
      <c r="A61" s="46">
        <v>59</v>
      </c>
      <c r="B61" s="48" t="s">
        <v>72</v>
      </c>
      <c r="C61" s="48" t="s">
        <v>283</v>
      </c>
      <c r="D61" s="63" t="s">
        <v>28</v>
      </c>
      <c r="E61" s="50">
        <v>46197</v>
      </c>
      <c r="F61" s="64">
        <v>46210</v>
      </c>
      <c r="G61" s="50">
        <f t="shared" si="2"/>
        <v>46205</v>
      </c>
      <c r="H61" s="50"/>
      <c r="I61" s="63"/>
      <c r="J61" s="48" t="s">
        <v>284</v>
      </c>
      <c r="K61" s="65" t="s">
        <v>44</v>
      </c>
      <c r="L61" s="53" t="s">
        <v>391</v>
      </c>
      <c r="M61" s="53" t="s">
        <v>392</v>
      </c>
      <c r="N61" s="48" t="s">
        <v>42</v>
      </c>
      <c r="O61" s="48" t="s">
        <v>33</v>
      </c>
      <c r="P61" s="48" t="s">
        <v>291</v>
      </c>
      <c r="Q61" s="53"/>
      <c r="R61" s="53"/>
      <c r="S61" s="66"/>
      <c r="T61" s="48"/>
      <c r="U61" s="48"/>
      <c r="V61" s="48"/>
      <c r="W61" s="48"/>
      <c r="X61" s="48"/>
      <c r="Y61" s="67"/>
    </row>
    <row r="62" ht="132" spans="1:25">
      <c r="A62" s="46">
        <v>60</v>
      </c>
      <c r="B62" s="76" t="s">
        <v>124</v>
      </c>
      <c r="C62" s="76" t="s">
        <v>125</v>
      </c>
      <c r="D62" s="63" t="s">
        <v>28</v>
      </c>
      <c r="E62" s="64">
        <v>46184</v>
      </c>
      <c r="F62" s="64">
        <v>46197</v>
      </c>
      <c r="G62" s="50">
        <f t="shared" si="2"/>
        <v>46192</v>
      </c>
      <c r="H62" s="64">
        <v>46191</v>
      </c>
      <c r="I62" s="63" t="s">
        <v>54</v>
      </c>
      <c r="J62" s="48" t="s">
        <v>29</v>
      </c>
      <c r="K62" s="65">
        <v>0.0313</v>
      </c>
      <c r="L62" s="72" t="s">
        <v>393</v>
      </c>
      <c r="M62" s="53" t="s">
        <v>394</v>
      </c>
      <c r="N62" s="48" t="s">
        <v>102</v>
      </c>
      <c r="O62" s="48" t="s">
        <v>59</v>
      </c>
      <c r="P62" s="48" t="s">
        <v>43</v>
      </c>
      <c r="Q62" s="53" t="s">
        <v>395</v>
      </c>
      <c r="R62" s="78" t="s">
        <v>396</v>
      </c>
      <c r="S62" s="78" t="s">
        <v>397</v>
      </c>
      <c r="T62" s="48" t="s">
        <v>342</v>
      </c>
      <c r="U62" s="48" t="s">
        <v>116</v>
      </c>
      <c r="V62" s="48" t="s">
        <v>64</v>
      </c>
      <c r="W62" s="48" t="s">
        <v>50</v>
      </c>
      <c r="X62" s="48" t="s">
        <v>50</v>
      </c>
      <c r="Y62" s="67"/>
    </row>
    <row r="63" ht="132" spans="1:25">
      <c r="A63" s="46">
        <v>61</v>
      </c>
      <c r="B63" s="76" t="s">
        <v>124</v>
      </c>
      <c r="C63" s="76" t="s">
        <v>125</v>
      </c>
      <c r="D63" s="63" t="s">
        <v>28</v>
      </c>
      <c r="E63" s="64">
        <v>46175</v>
      </c>
      <c r="F63" s="64">
        <v>46188</v>
      </c>
      <c r="G63" s="50">
        <f t="shared" si="2"/>
        <v>46183</v>
      </c>
      <c r="H63" s="64">
        <v>46188</v>
      </c>
      <c r="I63" s="63" t="s">
        <v>293</v>
      </c>
      <c r="J63" s="48" t="s">
        <v>29</v>
      </c>
      <c r="K63" s="65">
        <v>0.0602</v>
      </c>
      <c r="L63" s="72" t="s">
        <v>398</v>
      </c>
      <c r="M63" s="53" t="s">
        <v>399</v>
      </c>
      <c r="N63" s="48" t="s">
        <v>102</v>
      </c>
      <c r="O63" s="48" t="s">
        <v>33</v>
      </c>
      <c r="P63" s="48" t="s">
        <v>43</v>
      </c>
      <c r="Q63" s="53" t="s">
        <v>44</v>
      </c>
      <c r="R63" s="79" t="s">
        <v>400</v>
      </c>
      <c r="S63" s="72" t="s">
        <v>401</v>
      </c>
      <c r="T63" s="48" t="s">
        <v>44</v>
      </c>
      <c r="U63" s="48" t="s">
        <v>164</v>
      </c>
      <c r="V63" s="48" t="s">
        <v>64</v>
      </c>
      <c r="W63" s="48" t="s">
        <v>35</v>
      </c>
      <c r="X63" s="48" t="s">
        <v>35</v>
      </c>
      <c r="Y63" s="67"/>
    </row>
    <row r="64" ht="199.15" customHeight="1" spans="1:25">
      <c r="A64" s="46">
        <v>62</v>
      </c>
      <c r="B64" s="48" t="s">
        <v>98</v>
      </c>
      <c r="C64" s="48" t="s">
        <v>52</v>
      </c>
      <c r="D64" s="63" t="s">
        <v>28</v>
      </c>
      <c r="E64" s="50">
        <v>46195</v>
      </c>
      <c r="F64" s="50">
        <v>46206</v>
      </c>
      <c r="G64" s="50">
        <f t="shared" si="2"/>
        <v>46203</v>
      </c>
      <c r="H64" s="50">
        <v>46203</v>
      </c>
      <c r="I64" s="80" t="s">
        <v>153</v>
      </c>
      <c r="J64" s="48" t="s">
        <v>67</v>
      </c>
      <c r="K64" s="65">
        <v>0.216</v>
      </c>
      <c r="L64" s="53" t="s">
        <v>402</v>
      </c>
      <c r="M64" s="53" t="s">
        <v>403</v>
      </c>
      <c r="N64" s="48" t="s">
        <v>102</v>
      </c>
      <c r="O64" s="48" t="s">
        <v>59</v>
      </c>
      <c r="P64" s="48" t="s">
        <v>43</v>
      </c>
      <c r="Q64" s="53" t="s">
        <v>404</v>
      </c>
      <c r="R64" s="68" t="s">
        <v>405</v>
      </c>
      <c r="S64" s="81" t="s">
        <v>406</v>
      </c>
      <c r="T64" s="82" t="s">
        <v>407</v>
      </c>
      <c r="U64" s="48" t="s">
        <v>198</v>
      </c>
      <c r="V64" s="82" t="s">
        <v>64</v>
      </c>
      <c r="W64" s="48" t="s">
        <v>35</v>
      </c>
      <c r="X64" s="48" t="s">
        <v>35</v>
      </c>
      <c r="Y64" s="68" t="s">
        <v>408</v>
      </c>
    </row>
    <row r="65" ht="85.5" spans="1:25">
      <c r="A65" s="83">
        <v>63</v>
      </c>
      <c r="B65" s="84" t="s">
        <v>26</v>
      </c>
      <c r="C65" s="84" t="s">
        <v>409</v>
      </c>
      <c r="D65" s="85" t="s">
        <v>28</v>
      </c>
      <c r="E65" s="86">
        <v>46197</v>
      </c>
      <c r="F65" s="86">
        <v>46211</v>
      </c>
      <c r="G65" s="50">
        <f t="shared" si="2"/>
        <v>46206</v>
      </c>
      <c r="H65" s="86"/>
      <c r="I65" s="85"/>
      <c r="J65" s="84" t="s">
        <v>29</v>
      </c>
      <c r="K65" s="87" t="s">
        <v>44</v>
      </c>
      <c r="L65" s="88" t="s">
        <v>410</v>
      </c>
      <c r="M65" s="88" t="s">
        <v>411</v>
      </c>
      <c r="N65" s="84" t="s">
        <v>32</v>
      </c>
      <c r="O65" s="84" t="s">
        <v>33</v>
      </c>
      <c r="P65" s="89" t="s">
        <v>291</v>
      </c>
      <c r="Q65" s="88" t="s">
        <v>412</v>
      </c>
      <c r="R65" s="88"/>
      <c r="S65" s="90"/>
      <c r="T65" s="84"/>
      <c r="U65" s="84"/>
      <c r="V65" s="84"/>
      <c r="W65" s="84"/>
      <c r="X65" s="84"/>
      <c r="Y65" s="88"/>
    </row>
    <row r="66" ht="99.75" spans="1:25">
      <c r="A66" s="83">
        <v>64</v>
      </c>
      <c r="B66" s="84" t="s">
        <v>108</v>
      </c>
      <c r="C66" s="84" t="s">
        <v>368</v>
      </c>
      <c r="D66" s="85" t="s">
        <v>28</v>
      </c>
      <c r="E66" s="86">
        <v>46198</v>
      </c>
      <c r="F66" s="86">
        <v>46212</v>
      </c>
      <c r="G66" s="50">
        <f t="shared" si="2"/>
        <v>46209</v>
      </c>
      <c r="H66" s="86"/>
      <c r="I66" s="85"/>
      <c r="J66" s="84" t="s">
        <v>29</v>
      </c>
      <c r="K66" s="87">
        <v>1</v>
      </c>
      <c r="L66" s="88" t="s">
        <v>413</v>
      </c>
      <c r="M66" s="88" t="s">
        <v>414</v>
      </c>
      <c r="N66" s="84" t="s">
        <v>32</v>
      </c>
      <c r="O66" s="84" t="s">
        <v>33</v>
      </c>
      <c r="P66" s="89" t="s">
        <v>291</v>
      </c>
      <c r="Q66" s="88" t="s">
        <v>414</v>
      </c>
      <c r="R66" s="88"/>
      <c r="S66" s="90"/>
      <c r="T66" s="84"/>
      <c r="U66" s="84"/>
      <c r="V66" s="84"/>
      <c r="W66" s="84"/>
      <c r="X66" s="84"/>
      <c r="Y66" s="88"/>
    </row>
    <row r="67" ht="99.75" spans="1:25">
      <c r="A67" s="83">
        <v>65</v>
      </c>
      <c r="B67" s="84" t="s">
        <v>108</v>
      </c>
      <c r="C67" s="84" t="s">
        <v>224</v>
      </c>
      <c r="D67" s="85" t="s">
        <v>28</v>
      </c>
      <c r="E67" s="86">
        <v>46198</v>
      </c>
      <c r="F67" s="86">
        <v>46212</v>
      </c>
      <c r="G67" s="50">
        <f t="shared" si="2"/>
        <v>46209</v>
      </c>
      <c r="H67" s="86"/>
      <c r="I67" s="85"/>
      <c r="J67" s="84" t="s">
        <v>40</v>
      </c>
      <c r="K67" s="87">
        <v>0.004</v>
      </c>
      <c r="L67" s="88" t="s">
        <v>415</v>
      </c>
      <c r="M67" s="88" t="s">
        <v>416</v>
      </c>
      <c r="N67" s="84" t="s">
        <v>32</v>
      </c>
      <c r="O67" s="84" t="s">
        <v>33</v>
      </c>
      <c r="P67" s="89" t="s">
        <v>291</v>
      </c>
      <c r="Q67" s="88" t="s">
        <v>417</v>
      </c>
      <c r="R67" s="88"/>
      <c r="S67" s="90"/>
      <c r="T67" s="84"/>
      <c r="U67" s="84"/>
      <c r="V67" s="84"/>
      <c r="W67" s="84"/>
      <c r="X67" s="84"/>
      <c r="Y67" s="88"/>
    </row>
    <row r="68" ht="156.75" spans="1:25">
      <c r="A68" s="83">
        <v>66</v>
      </c>
      <c r="B68" s="84" t="s">
        <v>142</v>
      </c>
      <c r="C68" s="84" t="s">
        <v>152</v>
      </c>
      <c r="D68" s="85" t="s">
        <v>28</v>
      </c>
      <c r="E68" s="86">
        <v>46199</v>
      </c>
      <c r="F68" s="86">
        <v>46213</v>
      </c>
      <c r="G68" s="50">
        <f t="shared" si="2"/>
        <v>46210</v>
      </c>
      <c r="H68" s="86"/>
      <c r="I68" s="85"/>
      <c r="J68" s="84" t="s">
        <v>67</v>
      </c>
      <c r="K68" s="87">
        <v>1</v>
      </c>
      <c r="L68" s="88" t="s">
        <v>418</v>
      </c>
      <c r="M68" s="88" t="s">
        <v>419</v>
      </c>
      <c r="N68" s="84" t="s">
        <v>58</v>
      </c>
      <c r="O68" s="84" t="s">
        <v>59</v>
      </c>
      <c r="P68" s="89" t="s">
        <v>291</v>
      </c>
      <c r="Q68" s="88"/>
      <c r="R68" s="88"/>
      <c r="S68" s="90"/>
      <c r="T68" s="84"/>
      <c r="U68" s="84"/>
      <c r="V68" s="84" t="s">
        <v>64</v>
      </c>
      <c r="W68" s="84"/>
      <c r="X68" s="84"/>
      <c r="Y68" s="88"/>
    </row>
    <row r="69" ht="96" customHeight="1" spans="1:25">
      <c r="A69" s="83">
        <v>67</v>
      </c>
      <c r="B69" s="84" t="s">
        <v>142</v>
      </c>
      <c r="C69" s="84" t="s">
        <v>143</v>
      </c>
      <c r="D69" s="85" t="s">
        <v>28</v>
      </c>
      <c r="E69" s="86">
        <v>46204</v>
      </c>
      <c r="F69" s="86">
        <v>46218</v>
      </c>
      <c r="G69" s="50">
        <f t="shared" si="2"/>
        <v>46213</v>
      </c>
      <c r="H69" s="86"/>
      <c r="I69" s="85"/>
      <c r="J69" s="84" t="s">
        <v>67</v>
      </c>
      <c r="K69" s="87" t="s">
        <v>44</v>
      </c>
      <c r="L69" s="88" t="s">
        <v>420</v>
      </c>
      <c r="M69" s="88" t="s">
        <v>421</v>
      </c>
      <c r="N69" s="84" t="s">
        <v>58</v>
      </c>
      <c r="O69" s="84" t="s">
        <v>59</v>
      </c>
      <c r="P69" s="89" t="s">
        <v>291</v>
      </c>
      <c r="Q69" s="88"/>
      <c r="R69" s="88"/>
      <c r="S69" s="90"/>
      <c r="T69" s="84"/>
      <c r="U69" s="84"/>
      <c r="V69" s="84"/>
      <c r="W69" s="84"/>
      <c r="X69" s="84"/>
      <c r="Y69" s="88"/>
    </row>
    <row r="70" ht="84.75" customHeight="1" spans="1:25">
      <c r="A70" s="83">
        <v>68</v>
      </c>
      <c r="B70" s="84" t="s">
        <v>37</v>
      </c>
      <c r="C70" s="84" t="s">
        <v>38</v>
      </c>
      <c r="D70" s="85" t="s">
        <v>28</v>
      </c>
      <c r="E70" s="86">
        <v>46199</v>
      </c>
      <c r="F70" s="86">
        <v>46213</v>
      </c>
      <c r="G70" s="50">
        <f t="shared" si="2"/>
        <v>46210</v>
      </c>
      <c r="H70" s="86">
        <v>46203</v>
      </c>
      <c r="I70" s="85" t="s">
        <v>74</v>
      </c>
      <c r="J70" s="84" t="s">
        <v>29</v>
      </c>
      <c r="K70" s="87" t="s">
        <v>44</v>
      </c>
      <c r="L70" s="88" t="s">
        <v>422</v>
      </c>
      <c r="M70" s="88" t="s">
        <v>423</v>
      </c>
      <c r="N70" s="84" t="s">
        <v>42</v>
      </c>
      <c r="O70" s="84" t="s">
        <v>33</v>
      </c>
      <c r="P70" s="91" t="s">
        <v>43</v>
      </c>
      <c r="Q70" s="88"/>
      <c r="R70" s="88" t="s">
        <v>424</v>
      </c>
      <c r="S70" s="90" t="s">
        <v>425</v>
      </c>
      <c r="T70" s="84" t="s">
        <v>80</v>
      </c>
      <c r="U70" s="84" t="s">
        <v>48</v>
      </c>
      <c r="V70" s="84" t="s">
        <v>64</v>
      </c>
      <c r="W70" s="84" t="s">
        <v>50</v>
      </c>
      <c r="X70" s="84"/>
      <c r="Y70" s="88"/>
    </row>
    <row r="71" ht="128.25" spans="1:25">
      <c r="A71" s="83">
        <v>69</v>
      </c>
      <c r="B71" s="84" t="s">
        <v>37</v>
      </c>
      <c r="C71" s="84" t="s">
        <v>426</v>
      </c>
      <c r="D71" s="85" t="s">
        <v>28</v>
      </c>
      <c r="E71" s="86">
        <v>46202</v>
      </c>
      <c r="F71" s="86">
        <v>46216</v>
      </c>
      <c r="G71" s="50">
        <f t="shared" si="2"/>
        <v>46211</v>
      </c>
      <c r="H71" s="86"/>
      <c r="I71" s="85"/>
      <c r="J71" s="84" t="s">
        <v>284</v>
      </c>
      <c r="K71" s="87" t="s">
        <v>44</v>
      </c>
      <c r="L71" s="88" t="s">
        <v>427</v>
      </c>
      <c r="M71" s="88" t="s">
        <v>428</v>
      </c>
      <c r="N71" s="84" t="s">
        <v>42</v>
      </c>
      <c r="O71" s="84" t="s">
        <v>33</v>
      </c>
      <c r="P71" s="89" t="s">
        <v>291</v>
      </c>
      <c r="Q71" s="88"/>
      <c r="R71" s="88"/>
      <c r="S71" s="90"/>
      <c r="T71" s="84"/>
      <c r="U71" s="84"/>
      <c r="V71" s="84"/>
      <c r="W71" s="84"/>
      <c r="X71" s="84"/>
      <c r="Y71" s="88"/>
    </row>
    <row r="72" ht="108" customHeight="1" spans="1:25">
      <c r="A72" s="83">
        <v>70</v>
      </c>
      <c r="B72" s="84" t="s">
        <v>72</v>
      </c>
      <c r="C72" s="84" t="s">
        <v>292</v>
      </c>
      <c r="D72" s="85" t="s">
        <v>28</v>
      </c>
      <c r="E72" s="86">
        <v>46206</v>
      </c>
      <c r="F72" s="86">
        <v>46220</v>
      </c>
      <c r="G72" s="50">
        <f t="shared" si="2"/>
        <v>46217</v>
      </c>
      <c r="H72" s="86"/>
      <c r="I72" s="85"/>
      <c r="J72" s="84" t="s">
        <v>29</v>
      </c>
      <c r="K72" s="87" t="s">
        <v>44</v>
      </c>
      <c r="L72" s="88" t="s">
        <v>429</v>
      </c>
      <c r="M72" s="88" t="s">
        <v>430</v>
      </c>
      <c r="N72" s="84" t="s">
        <v>42</v>
      </c>
      <c r="O72" s="84" t="s">
        <v>33</v>
      </c>
      <c r="P72" s="89" t="s">
        <v>291</v>
      </c>
      <c r="Q72" s="88"/>
      <c r="R72" s="88"/>
      <c r="S72" s="90"/>
      <c r="T72" s="84"/>
      <c r="U72" s="84"/>
      <c r="V72" s="84"/>
      <c r="W72" s="84"/>
      <c r="X72" s="84"/>
      <c r="Y72" s="88"/>
    </row>
    <row r="73" ht="108" customHeight="1" spans="1:25">
      <c r="A73" s="83">
        <v>71</v>
      </c>
      <c r="B73" s="48" t="s">
        <v>37</v>
      </c>
      <c r="C73" s="84" t="s">
        <v>38</v>
      </c>
      <c r="D73" s="85" t="s">
        <v>28</v>
      </c>
      <c r="E73" s="86">
        <v>46206</v>
      </c>
      <c r="F73" s="86">
        <v>46220</v>
      </c>
      <c r="G73" s="50">
        <f t="shared" si="2"/>
        <v>46217</v>
      </c>
      <c r="H73" s="86"/>
      <c r="I73" s="85"/>
      <c r="J73" s="84" t="s">
        <v>29</v>
      </c>
      <c r="K73" s="87" t="s">
        <v>44</v>
      </c>
      <c r="L73" s="88" t="s">
        <v>431</v>
      </c>
      <c r="M73" s="88" t="s">
        <v>430</v>
      </c>
      <c r="N73" s="84" t="s">
        <v>42</v>
      </c>
      <c r="O73" s="84" t="s">
        <v>33</v>
      </c>
      <c r="P73" s="89" t="s">
        <v>291</v>
      </c>
      <c r="Q73" s="88"/>
      <c r="R73" s="88"/>
      <c r="S73" s="90"/>
      <c r="T73" s="84"/>
      <c r="U73" s="84"/>
      <c r="V73" s="84"/>
      <c r="W73" s="84"/>
      <c r="X73" s="84"/>
      <c r="Y73" s="88"/>
    </row>
    <row r="74" ht="145.5" customHeight="1" spans="1:25">
      <c r="A74" s="83">
        <v>72</v>
      </c>
      <c r="B74" s="48"/>
      <c r="C74" s="48"/>
      <c r="D74" s="63"/>
      <c r="E74" s="69"/>
      <c r="F74" s="69"/>
      <c r="G74" s="69"/>
      <c r="H74" s="69"/>
      <c r="I74" s="63"/>
      <c r="J74" s="48"/>
      <c r="K74" s="65"/>
      <c r="L74" s="53"/>
      <c r="M74" s="53"/>
      <c r="N74" s="48"/>
      <c r="O74" s="48"/>
      <c r="P74" s="48"/>
      <c r="Q74" s="53"/>
      <c r="R74" s="53"/>
      <c r="S74" s="66"/>
      <c r="T74" s="48"/>
      <c r="U74" s="48"/>
      <c r="V74" s="48"/>
      <c r="W74" s="48"/>
      <c r="X74" s="48"/>
      <c r="Y74" s="71"/>
    </row>
    <row r="75" ht="142.5" customHeight="1" spans="1:25">
      <c r="A75" s="83">
        <v>73</v>
      </c>
      <c r="B75" s="92"/>
      <c r="C75" s="92"/>
      <c r="D75" s="63"/>
      <c r="E75" s="93"/>
      <c r="F75" s="93"/>
      <c r="G75" s="93"/>
      <c r="H75" s="93"/>
      <c r="I75" s="63"/>
      <c r="J75" s="48"/>
      <c r="K75" s="65"/>
      <c r="L75" s="53"/>
      <c r="M75" s="53"/>
      <c r="N75" s="48"/>
      <c r="O75" s="48"/>
      <c r="P75" s="48"/>
      <c r="Q75" s="53"/>
      <c r="R75" s="53"/>
      <c r="S75" s="66"/>
      <c r="T75" s="48"/>
      <c r="U75" s="48"/>
      <c r="V75" s="48"/>
      <c r="W75" s="48"/>
      <c r="X75" s="48"/>
      <c r="Y75" s="67"/>
    </row>
    <row r="76" ht="142.5" customHeight="1" spans="1:25">
      <c r="A76" s="83">
        <v>74</v>
      </c>
      <c r="B76" s="92"/>
      <c r="C76" s="92"/>
      <c r="D76" s="63"/>
      <c r="E76" s="93"/>
      <c r="F76" s="93"/>
      <c r="G76" s="93"/>
      <c r="H76" s="93"/>
      <c r="I76" s="63"/>
      <c r="J76" s="48"/>
      <c r="K76" s="65"/>
      <c r="L76" s="53"/>
      <c r="M76" s="53"/>
      <c r="N76" s="48"/>
      <c r="O76" s="48"/>
      <c r="P76" s="48"/>
      <c r="Q76" s="53"/>
      <c r="R76" s="53"/>
      <c r="S76" s="66"/>
      <c r="T76" s="48"/>
      <c r="U76" s="48"/>
      <c r="V76" s="48"/>
      <c r="W76" s="48"/>
      <c r="X76" s="48"/>
      <c r="Y76" s="67"/>
    </row>
    <row r="77" ht="141.75" customHeight="1" spans="1:25">
      <c r="A77" s="83">
        <v>75</v>
      </c>
      <c r="B77" s="48"/>
      <c r="C77" s="48"/>
      <c r="D77" s="63"/>
      <c r="E77" s="93"/>
      <c r="F77" s="93"/>
      <c r="G77" s="93"/>
      <c r="H77" s="93"/>
      <c r="I77" s="63"/>
      <c r="J77" s="48"/>
      <c r="K77" s="65"/>
      <c r="L77" s="53"/>
      <c r="M77" s="53"/>
      <c r="N77" s="48"/>
      <c r="O77" s="48"/>
      <c r="P77" s="48"/>
      <c r="Q77" s="53"/>
      <c r="R77" s="53"/>
      <c r="S77" s="66"/>
      <c r="T77" s="48"/>
      <c r="U77" s="48"/>
      <c r="V77" s="48"/>
      <c r="W77" s="48"/>
      <c r="X77" s="48"/>
      <c r="Y77" s="67"/>
    </row>
    <row r="78" ht="141.75" customHeight="1" spans="1:25">
      <c r="A78" s="83">
        <v>76</v>
      </c>
      <c r="B78" s="48"/>
      <c r="C78" s="48"/>
      <c r="D78" s="63"/>
      <c r="E78" s="69"/>
      <c r="F78" s="69"/>
      <c r="G78" s="69"/>
      <c r="H78" s="69"/>
      <c r="I78" s="63"/>
      <c r="J78" s="48"/>
      <c r="K78" s="65"/>
      <c r="L78" s="53"/>
      <c r="M78" s="53"/>
      <c r="N78" s="48"/>
      <c r="O78" s="48"/>
      <c r="P78" s="48"/>
      <c r="Q78" s="53"/>
      <c r="R78" s="53"/>
      <c r="S78" s="66"/>
      <c r="T78" s="48"/>
      <c r="U78" s="48"/>
      <c r="V78" s="48"/>
      <c r="W78" s="48"/>
      <c r="X78" s="48"/>
      <c r="Y78" s="67"/>
    </row>
    <row r="79" ht="16.5" spans="1:25">
      <c r="A79" s="83">
        <v>77</v>
      </c>
      <c r="B79" s="48"/>
      <c r="C79" s="48"/>
      <c r="D79" s="63"/>
      <c r="E79" s="69"/>
      <c r="F79" s="69"/>
      <c r="G79" s="69"/>
      <c r="H79" s="50"/>
      <c r="I79" s="63"/>
      <c r="J79" s="48"/>
      <c r="K79" s="65"/>
      <c r="L79" s="53"/>
      <c r="M79" s="53"/>
      <c r="N79" s="48"/>
      <c r="O79" s="48"/>
      <c r="P79" s="48"/>
      <c r="Q79" s="53"/>
      <c r="R79" s="73"/>
      <c r="S79" s="53"/>
      <c r="T79" s="66"/>
      <c r="U79" s="48"/>
      <c r="V79" s="94"/>
      <c r="W79" s="48"/>
      <c r="X79" s="48"/>
      <c r="Y79" s="67"/>
    </row>
    <row r="80" ht="16.5" spans="1:25">
      <c r="A80" s="83">
        <v>78</v>
      </c>
      <c r="B80" s="48"/>
      <c r="C80" s="48"/>
      <c r="D80" s="63"/>
      <c r="E80" s="69"/>
      <c r="F80" s="69"/>
      <c r="G80" s="69"/>
      <c r="H80" s="50"/>
      <c r="I80" s="63"/>
      <c r="J80" s="48"/>
      <c r="K80" s="65"/>
      <c r="L80" s="53"/>
      <c r="M80" s="53"/>
      <c r="N80" s="48"/>
      <c r="O80" s="48"/>
      <c r="P80" s="48"/>
      <c r="Q80" s="53"/>
      <c r="R80" s="53"/>
      <c r="S80" s="66"/>
      <c r="T80" s="48"/>
      <c r="U80" s="48"/>
      <c r="V80" s="48"/>
      <c r="W80" s="48"/>
      <c r="X80" s="48"/>
      <c r="Y80" s="67"/>
    </row>
    <row r="81" ht="16.5" spans="1:25">
      <c r="A81" s="83">
        <v>79</v>
      </c>
      <c r="B81" s="48"/>
      <c r="C81" s="48"/>
      <c r="D81" s="63"/>
      <c r="E81" s="69"/>
      <c r="F81" s="69"/>
      <c r="G81" s="69"/>
      <c r="H81" s="69"/>
      <c r="I81" s="63"/>
      <c r="J81" s="48"/>
      <c r="K81" s="65"/>
      <c r="L81" s="53"/>
      <c r="M81" s="53"/>
      <c r="N81" s="48"/>
      <c r="O81" s="48"/>
      <c r="P81" s="48"/>
      <c r="Q81" s="53"/>
      <c r="R81" s="53"/>
      <c r="S81" s="66"/>
      <c r="T81" s="48"/>
      <c r="U81" s="48"/>
      <c r="V81" s="48"/>
      <c r="W81" s="48"/>
      <c r="X81" s="48"/>
      <c r="Y81" s="67"/>
    </row>
    <row r="82" ht="16.5" spans="1:25">
      <c r="A82" s="83">
        <v>80</v>
      </c>
      <c r="B82" s="48"/>
      <c r="C82" s="48"/>
      <c r="D82" s="63"/>
      <c r="E82" s="69"/>
      <c r="F82" s="69"/>
      <c r="G82" s="69"/>
      <c r="H82" s="69"/>
      <c r="I82" s="63"/>
      <c r="J82" s="48"/>
      <c r="K82" s="65"/>
      <c r="L82" s="53"/>
      <c r="M82" s="53"/>
      <c r="N82" s="48"/>
      <c r="O82" s="48"/>
      <c r="P82" s="48"/>
      <c r="Q82" s="53"/>
      <c r="R82" s="53"/>
      <c r="S82" s="66"/>
      <c r="T82" s="48"/>
      <c r="U82" s="48"/>
      <c r="V82" s="48"/>
      <c r="W82" s="48"/>
      <c r="X82" s="48"/>
      <c r="Y82" s="67"/>
    </row>
    <row r="83" ht="16.5" spans="1:25">
      <c r="A83" s="83">
        <v>81</v>
      </c>
      <c r="B83" s="48"/>
      <c r="C83" s="48"/>
      <c r="D83" s="63"/>
      <c r="E83" s="69"/>
      <c r="F83" s="69"/>
      <c r="G83" s="69"/>
      <c r="H83" s="50"/>
      <c r="I83" s="63"/>
      <c r="J83" s="48"/>
      <c r="K83" s="65"/>
      <c r="L83" s="53"/>
      <c r="M83" s="53"/>
      <c r="N83" s="48"/>
      <c r="O83" s="48"/>
      <c r="P83" s="48"/>
      <c r="Q83" s="53"/>
      <c r="R83" s="53"/>
      <c r="S83" s="66"/>
      <c r="T83" s="48"/>
      <c r="U83" s="48"/>
      <c r="V83" s="48"/>
      <c r="W83" s="48"/>
      <c r="X83" s="48"/>
      <c r="Y83" s="67"/>
    </row>
    <row r="84" ht="16.5" spans="1:25">
      <c r="A84" s="83">
        <v>82</v>
      </c>
      <c r="B84" s="48"/>
      <c r="C84" s="48"/>
      <c r="D84" s="63"/>
      <c r="E84" s="69"/>
      <c r="F84" s="69"/>
      <c r="G84" s="69"/>
      <c r="H84" s="69"/>
      <c r="I84" s="63"/>
      <c r="J84" s="48"/>
      <c r="K84" s="65"/>
      <c r="L84" s="53"/>
      <c r="M84" s="53"/>
      <c r="N84" s="48"/>
      <c r="O84" s="48"/>
      <c r="P84" s="48"/>
      <c r="Q84" s="53"/>
      <c r="R84" s="53"/>
      <c r="S84" s="66"/>
      <c r="T84" s="48"/>
      <c r="U84" s="48"/>
      <c r="V84" s="48"/>
      <c r="W84" s="48"/>
      <c r="X84" s="48"/>
      <c r="Y84" s="67"/>
    </row>
    <row r="85" ht="16.5" spans="1:25">
      <c r="A85" s="83">
        <v>83</v>
      </c>
      <c r="B85" s="48"/>
      <c r="C85" s="48"/>
      <c r="D85" s="63"/>
      <c r="E85" s="69"/>
      <c r="F85" s="69"/>
      <c r="G85" s="69"/>
      <c r="H85" s="69"/>
      <c r="I85" s="63"/>
      <c r="J85" s="48"/>
      <c r="K85" s="65"/>
      <c r="L85" s="53"/>
      <c r="M85" s="53"/>
      <c r="N85" s="48"/>
      <c r="O85" s="48"/>
      <c r="P85" s="48"/>
      <c r="Q85" s="53"/>
      <c r="R85" s="53"/>
      <c r="S85" s="66"/>
      <c r="T85" s="48"/>
      <c r="U85" s="48"/>
      <c r="V85" s="48"/>
      <c r="W85" s="48"/>
      <c r="X85" s="48"/>
      <c r="Y85" s="67"/>
    </row>
    <row r="86" ht="16.5" spans="1:25">
      <c r="A86" s="83">
        <v>84</v>
      </c>
      <c r="B86" s="48"/>
      <c r="C86" s="48"/>
      <c r="D86" s="63"/>
      <c r="E86" s="69"/>
      <c r="F86" s="69"/>
      <c r="G86" s="69"/>
      <c r="H86" s="69"/>
      <c r="I86" s="63"/>
      <c r="J86" s="48"/>
      <c r="K86" s="65"/>
      <c r="L86" s="53"/>
      <c r="M86" s="53"/>
      <c r="N86" s="48"/>
      <c r="O86" s="48"/>
      <c r="P86" s="48"/>
      <c r="Q86" s="53"/>
      <c r="R86" s="53"/>
      <c r="S86" s="66"/>
      <c r="T86" s="48"/>
      <c r="U86" s="48"/>
      <c r="V86" s="48"/>
      <c r="W86" s="48"/>
      <c r="X86" s="48"/>
      <c r="Y86" s="67"/>
    </row>
    <row r="87" ht="16.5" spans="1:25">
      <c r="A87" s="83">
        <v>85</v>
      </c>
      <c r="B87" s="48"/>
      <c r="C87" s="48"/>
      <c r="D87" s="63"/>
      <c r="E87" s="69"/>
      <c r="F87" s="69"/>
      <c r="G87" s="69"/>
      <c r="H87" s="69"/>
      <c r="I87" s="63"/>
      <c r="J87" s="48"/>
      <c r="K87" s="65"/>
      <c r="L87" s="53"/>
      <c r="M87" s="53"/>
      <c r="N87" s="48"/>
      <c r="O87" s="48"/>
      <c r="P87" s="48"/>
      <c r="Q87" s="53"/>
      <c r="R87" s="53"/>
      <c r="S87" s="66"/>
      <c r="T87" s="48"/>
      <c r="U87" s="48"/>
      <c r="V87" s="48"/>
      <c r="W87" s="48"/>
      <c r="X87" s="48"/>
      <c r="Y87" s="67"/>
    </row>
    <row r="88" ht="16.5" spans="1:25">
      <c r="A88" s="83">
        <v>86</v>
      </c>
      <c r="B88" s="48"/>
      <c r="C88" s="48"/>
      <c r="D88" s="63"/>
      <c r="E88" s="69"/>
      <c r="F88" s="69"/>
      <c r="G88" s="69"/>
      <c r="H88" s="69"/>
      <c r="I88" s="63"/>
      <c r="J88" s="48"/>
      <c r="K88" s="65"/>
      <c r="L88" s="53"/>
      <c r="M88" s="53"/>
      <c r="N88" s="48"/>
      <c r="O88" s="48"/>
      <c r="P88" s="48"/>
      <c r="Q88" s="53"/>
      <c r="R88" s="53"/>
      <c r="S88" s="66"/>
      <c r="T88" s="48"/>
      <c r="U88" s="48"/>
      <c r="V88" s="48"/>
      <c r="W88" s="48"/>
      <c r="X88" s="48"/>
      <c r="Y88" s="67"/>
    </row>
    <row r="89" ht="16.5" spans="1:25">
      <c r="A89" s="83">
        <v>87</v>
      </c>
      <c r="B89" s="48"/>
      <c r="C89" s="48"/>
      <c r="D89" s="63"/>
      <c r="E89" s="69"/>
      <c r="F89" s="69"/>
      <c r="G89" s="69"/>
      <c r="H89" s="69"/>
      <c r="I89" s="63"/>
      <c r="J89" s="48"/>
      <c r="K89" s="65"/>
      <c r="L89" s="53"/>
      <c r="M89" s="53"/>
      <c r="N89" s="48"/>
      <c r="O89" s="48"/>
      <c r="P89" s="48"/>
      <c r="Q89" s="53"/>
      <c r="R89" s="53"/>
      <c r="S89" s="66"/>
      <c r="T89" s="48"/>
      <c r="U89" s="48"/>
      <c r="V89" s="48"/>
      <c r="W89" s="48"/>
      <c r="X89" s="48"/>
      <c r="Y89" s="67"/>
    </row>
    <row r="90" ht="16.5" spans="1:25">
      <c r="A90" s="83">
        <v>88</v>
      </c>
      <c r="B90" s="48"/>
      <c r="C90" s="48"/>
      <c r="D90" s="63"/>
      <c r="E90" s="69"/>
      <c r="F90" s="69"/>
      <c r="G90" s="69"/>
      <c r="H90" s="69"/>
      <c r="I90" s="63"/>
      <c r="J90" s="48"/>
      <c r="K90" s="65"/>
      <c r="L90" s="53"/>
      <c r="M90" s="53"/>
      <c r="N90" s="48"/>
      <c r="O90" s="48"/>
      <c r="P90" s="48"/>
      <c r="Q90" s="53"/>
      <c r="R90" s="53"/>
      <c r="S90" s="66"/>
      <c r="T90" s="48"/>
      <c r="U90" s="48"/>
      <c r="V90" s="48"/>
      <c r="W90" s="48"/>
      <c r="X90" s="48"/>
      <c r="Y90" s="67"/>
    </row>
    <row r="91" ht="16.5" spans="1:25">
      <c r="A91" s="83">
        <v>89</v>
      </c>
      <c r="B91" s="48"/>
      <c r="C91" s="48"/>
      <c r="D91" s="63"/>
      <c r="E91" s="69"/>
      <c r="F91" s="69"/>
      <c r="G91" s="69"/>
      <c r="H91" s="69"/>
      <c r="I91" s="63"/>
      <c r="J91" s="48"/>
      <c r="K91" s="65"/>
      <c r="L91" s="53"/>
      <c r="M91" s="53"/>
      <c r="N91" s="48"/>
      <c r="O91" s="48"/>
      <c r="P91" s="48"/>
      <c r="Q91" s="53"/>
      <c r="R91" s="53"/>
      <c r="S91" s="66"/>
      <c r="T91" s="48"/>
      <c r="U91" s="48"/>
      <c r="V91" s="48"/>
      <c r="W91" s="48"/>
      <c r="X91" s="48"/>
      <c r="Y91" s="67"/>
    </row>
    <row r="92" ht="16.5" spans="1:25">
      <c r="A92" s="83">
        <v>90</v>
      </c>
      <c r="B92" s="48"/>
      <c r="C92" s="48"/>
      <c r="D92" s="63"/>
      <c r="E92" s="69"/>
      <c r="F92" s="69"/>
      <c r="G92" s="69"/>
      <c r="H92" s="69"/>
      <c r="I92" s="63"/>
      <c r="J92" s="48"/>
      <c r="K92" s="65"/>
      <c r="L92" s="53"/>
      <c r="M92" s="53"/>
      <c r="N92" s="48"/>
      <c r="O92" s="48"/>
      <c r="P92" s="48"/>
      <c r="Q92" s="53"/>
      <c r="R92" s="53"/>
      <c r="S92" s="66"/>
      <c r="T92" s="48"/>
      <c r="U92" s="48"/>
      <c r="V92" s="48"/>
      <c r="W92" s="48"/>
      <c r="X92" s="48"/>
      <c r="Y92" s="67"/>
    </row>
    <row r="93" ht="16.5" spans="1:25">
      <c r="A93" s="83">
        <v>91</v>
      </c>
      <c r="B93" s="48"/>
      <c r="C93" s="48"/>
      <c r="D93" s="63"/>
      <c r="E93" s="69"/>
      <c r="F93" s="69"/>
      <c r="G93" s="69"/>
      <c r="H93" s="50"/>
      <c r="I93" s="63"/>
      <c r="J93" s="48"/>
      <c r="K93" s="65"/>
      <c r="L93" s="53"/>
      <c r="M93" s="53"/>
      <c r="N93" s="48"/>
      <c r="O93" s="48"/>
      <c r="P93" s="48"/>
      <c r="Q93" s="53"/>
      <c r="R93" s="53"/>
      <c r="S93" s="66"/>
      <c r="T93" s="48"/>
      <c r="U93" s="48"/>
      <c r="V93" s="48"/>
      <c r="W93" s="48"/>
      <c r="X93" s="48"/>
      <c r="Y93" s="67"/>
    </row>
    <row r="94" ht="16.5" spans="1:25">
      <c r="A94" s="83">
        <v>92</v>
      </c>
      <c r="B94" s="48"/>
      <c r="C94" s="48"/>
      <c r="D94" s="63"/>
      <c r="E94" s="69"/>
      <c r="F94" s="69"/>
      <c r="G94" s="69"/>
      <c r="H94" s="69"/>
      <c r="I94" s="63"/>
      <c r="J94" s="48"/>
      <c r="K94" s="65"/>
      <c r="L94" s="53"/>
      <c r="M94" s="53"/>
      <c r="N94" s="48"/>
      <c r="O94" s="48"/>
      <c r="P94" s="48"/>
      <c r="Q94" s="53"/>
      <c r="R94" s="53"/>
      <c r="S94" s="66"/>
      <c r="T94" s="48"/>
      <c r="U94" s="48"/>
      <c r="V94" s="48"/>
      <c r="W94" s="48"/>
      <c r="X94" s="48"/>
      <c r="Y94" s="67"/>
    </row>
    <row r="95" ht="16.5" spans="1:25">
      <c r="A95" s="83">
        <v>93</v>
      </c>
      <c r="B95" s="48"/>
      <c r="C95" s="48"/>
      <c r="D95" s="63"/>
      <c r="E95" s="69"/>
      <c r="F95" s="69"/>
      <c r="G95" s="69"/>
      <c r="H95" s="69"/>
      <c r="I95" s="63"/>
      <c r="J95" s="48"/>
      <c r="K95" s="65"/>
      <c r="L95" s="53"/>
      <c r="M95" s="53"/>
      <c r="N95" s="48"/>
      <c r="O95" s="48"/>
      <c r="P95" s="48"/>
      <c r="Q95" s="53"/>
      <c r="R95" s="53"/>
      <c r="S95" s="66"/>
      <c r="T95" s="48"/>
      <c r="U95" s="48"/>
      <c r="V95" s="48"/>
      <c r="W95" s="48"/>
      <c r="X95" s="48"/>
      <c r="Y95" s="67"/>
    </row>
    <row r="96" ht="99.75" customHeight="1" spans="1:25">
      <c r="A96" s="83">
        <v>94</v>
      </c>
      <c r="B96" s="48"/>
      <c r="C96" s="48"/>
      <c r="D96" s="63"/>
      <c r="E96" s="69"/>
      <c r="F96" s="69"/>
      <c r="G96" s="69"/>
      <c r="H96" s="69"/>
      <c r="I96" s="63"/>
      <c r="J96" s="48"/>
      <c r="K96" s="65"/>
      <c r="L96" s="53"/>
      <c r="M96" s="53"/>
      <c r="N96" s="48"/>
      <c r="O96" s="48"/>
      <c r="P96" s="48"/>
      <c r="Q96" s="53"/>
      <c r="R96" s="53"/>
      <c r="S96" s="66"/>
      <c r="T96" s="48"/>
      <c r="U96" s="48"/>
      <c r="V96" s="48"/>
      <c r="W96" s="48"/>
      <c r="X96" s="48"/>
      <c r="Y96" s="67"/>
    </row>
    <row r="97" ht="146.25" customHeight="1" spans="1:25">
      <c r="A97" s="83">
        <v>95</v>
      </c>
      <c r="B97" s="48"/>
      <c r="C97" s="48"/>
      <c r="D97" s="63"/>
      <c r="E97" s="69"/>
      <c r="F97" s="69"/>
      <c r="G97" s="69"/>
      <c r="H97" s="69"/>
      <c r="I97" s="63"/>
      <c r="J97" s="48"/>
      <c r="K97" s="65"/>
      <c r="L97" s="53"/>
      <c r="M97" s="53"/>
      <c r="N97" s="48"/>
      <c r="O97" s="48"/>
      <c r="P97" s="48"/>
      <c r="Q97" s="53"/>
      <c r="R97" s="53"/>
      <c r="S97" s="66"/>
      <c r="T97" s="48"/>
      <c r="U97" s="48"/>
      <c r="V97" s="48"/>
      <c r="W97" s="48"/>
      <c r="X97" s="48"/>
      <c r="Y97" s="67"/>
    </row>
    <row r="98" ht="16.5" spans="1:25">
      <c r="A98" s="83">
        <v>96</v>
      </c>
      <c r="B98" s="48"/>
      <c r="C98" s="48"/>
      <c r="D98" s="63"/>
      <c r="E98" s="50"/>
      <c r="F98" s="69"/>
      <c r="G98" s="69"/>
      <c r="H98" s="69"/>
      <c r="I98" s="63"/>
      <c r="J98" s="48"/>
      <c r="K98" s="65"/>
      <c r="L98" s="53"/>
      <c r="M98" s="53"/>
      <c r="N98" s="48"/>
      <c r="O98" s="48"/>
      <c r="P98" s="48"/>
      <c r="Q98" s="53"/>
      <c r="R98" s="53"/>
      <c r="S98" s="66"/>
      <c r="T98" s="48"/>
      <c r="U98" s="48"/>
      <c r="V98" s="48"/>
      <c r="W98" s="48"/>
      <c r="X98" s="48"/>
      <c r="Y98" s="67"/>
    </row>
    <row r="99" ht="122.25" customHeight="1" spans="1:25">
      <c r="A99" s="83">
        <v>97</v>
      </c>
      <c r="B99" s="48"/>
      <c r="C99" s="48"/>
      <c r="D99" s="63"/>
      <c r="E99" s="50"/>
      <c r="F99" s="69"/>
      <c r="G99" s="69"/>
      <c r="H99" s="50"/>
      <c r="I99" s="63"/>
      <c r="J99" s="48"/>
      <c r="K99" s="65"/>
      <c r="L99" s="53"/>
      <c r="M99" s="53"/>
      <c r="N99" s="48"/>
      <c r="O99" s="48"/>
      <c r="P99" s="48"/>
      <c r="Q99" s="53"/>
      <c r="R99" s="53"/>
      <c r="S99" s="66"/>
      <c r="T99" s="48"/>
      <c r="U99" s="48"/>
      <c r="V99" s="48"/>
      <c r="W99" s="48"/>
      <c r="X99" s="48"/>
      <c r="Y99" s="67"/>
    </row>
    <row r="100" ht="16.5" spans="1:25">
      <c r="A100" s="83">
        <v>98</v>
      </c>
      <c r="B100" s="48"/>
      <c r="C100" s="48"/>
      <c r="D100" s="63"/>
      <c r="E100" s="69"/>
      <c r="F100" s="69"/>
      <c r="G100" s="69"/>
      <c r="H100" s="69"/>
      <c r="I100" s="63"/>
      <c r="J100" s="48"/>
      <c r="K100" s="65"/>
      <c r="L100" s="53"/>
      <c r="M100" s="53"/>
      <c r="N100" s="48"/>
      <c r="O100" s="48"/>
      <c r="P100" s="48"/>
      <c r="Q100" s="53"/>
      <c r="R100" s="53"/>
      <c r="S100" s="66"/>
      <c r="T100" s="48"/>
      <c r="U100" s="48"/>
      <c r="V100" s="48"/>
      <c r="W100" s="48"/>
      <c r="X100" s="48"/>
      <c r="Y100" s="67"/>
    </row>
    <row r="101" ht="16.5" spans="1:25">
      <c r="A101" s="83">
        <v>99</v>
      </c>
      <c r="B101" s="48"/>
      <c r="C101" s="48"/>
      <c r="D101" s="63"/>
      <c r="E101" s="69"/>
      <c r="F101" s="69"/>
      <c r="G101" s="69"/>
      <c r="H101" s="69"/>
      <c r="I101" s="63"/>
      <c r="J101" s="48"/>
      <c r="K101" s="65"/>
      <c r="L101" s="53"/>
      <c r="M101" s="53"/>
      <c r="N101" s="48"/>
      <c r="O101" s="48"/>
      <c r="P101" s="48"/>
      <c r="Q101" s="53"/>
      <c r="R101" s="53"/>
      <c r="S101" s="66"/>
      <c r="T101" s="48"/>
      <c r="U101" s="48"/>
      <c r="V101" s="48"/>
      <c r="W101" s="48"/>
      <c r="X101" s="48"/>
      <c r="Y101" s="67"/>
    </row>
    <row r="102" ht="16.5" spans="1:25">
      <c r="A102" s="83">
        <v>100</v>
      </c>
      <c r="B102" s="48"/>
      <c r="C102" s="48"/>
      <c r="D102" s="63"/>
      <c r="E102" s="69"/>
      <c r="F102" s="69"/>
      <c r="G102" s="69"/>
      <c r="H102" s="69"/>
      <c r="I102" s="63"/>
      <c r="J102" s="48"/>
      <c r="K102" s="65"/>
      <c r="L102" s="53"/>
      <c r="M102" s="53"/>
      <c r="N102" s="48"/>
      <c r="O102" s="48"/>
      <c r="P102" s="48"/>
      <c r="Q102" s="53"/>
      <c r="R102" s="53"/>
      <c r="S102" s="66"/>
      <c r="T102" s="48"/>
      <c r="U102" s="48"/>
      <c r="V102" s="48"/>
      <c r="W102" s="48"/>
      <c r="X102" s="48"/>
      <c r="Y102" s="67"/>
    </row>
    <row r="103" ht="16.5" spans="1:25">
      <c r="A103" s="83">
        <v>101</v>
      </c>
      <c r="B103" s="48"/>
      <c r="C103" s="48"/>
      <c r="D103" s="63"/>
      <c r="E103" s="69"/>
      <c r="F103" s="69"/>
      <c r="G103" s="69"/>
      <c r="H103" s="69"/>
      <c r="I103" s="63"/>
      <c r="J103" s="48"/>
      <c r="K103" s="65"/>
      <c r="L103" s="53"/>
      <c r="M103" s="53"/>
      <c r="N103" s="48"/>
      <c r="O103" s="48"/>
      <c r="P103" s="48"/>
      <c r="Q103" s="53"/>
      <c r="R103" s="53"/>
      <c r="S103" s="66"/>
      <c r="T103" s="48"/>
      <c r="U103" s="48"/>
      <c r="V103" s="48"/>
      <c r="W103" s="48"/>
      <c r="X103" s="48"/>
      <c r="Y103" s="67"/>
    </row>
    <row r="104" ht="16.5" spans="1:25">
      <c r="A104" s="83">
        <v>102</v>
      </c>
      <c r="B104" s="48"/>
      <c r="C104" s="48"/>
      <c r="D104" s="63"/>
      <c r="E104" s="69"/>
      <c r="F104" s="69"/>
      <c r="G104" s="69"/>
      <c r="H104" s="69"/>
      <c r="I104" s="63"/>
      <c r="J104" s="48"/>
      <c r="K104" s="65"/>
      <c r="L104" s="53"/>
      <c r="M104" s="53"/>
      <c r="N104" s="48"/>
      <c r="O104" s="48"/>
      <c r="P104" s="48"/>
      <c r="Q104" s="53"/>
      <c r="R104" s="53"/>
      <c r="S104" s="66"/>
      <c r="T104" s="48"/>
      <c r="U104" s="48"/>
      <c r="V104" s="48"/>
      <c r="W104" s="48"/>
      <c r="X104" s="48"/>
      <c r="Y104" s="67"/>
    </row>
    <row r="105" ht="16.5" spans="1:25">
      <c r="A105" s="83">
        <v>103</v>
      </c>
      <c r="B105" s="48"/>
      <c r="C105" s="48"/>
      <c r="D105" s="63"/>
      <c r="E105" s="69"/>
      <c r="F105" s="69"/>
      <c r="G105" s="69"/>
      <c r="H105" s="69"/>
      <c r="I105" s="63"/>
      <c r="J105" s="48"/>
      <c r="K105" s="65"/>
      <c r="L105" s="53"/>
      <c r="M105" s="53"/>
      <c r="N105" s="48"/>
      <c r="O105" s="48"/>
      <c r="P105" s="48"/>
      <c r="Q105" s="53"/>
      <c r="R105" s="53"/>
      <c r="S105" s="66"/>
      <c r="T105" s="48"/>
      <c r="U105" s="48"/>
      <c r="V105" s="48"/>
      <c r="W105" s="48"/>
      <c r="X105" s="48"/>
      <c r="Y105" s="67"/>
    </row>
    <row r="106" ht="16.5" spans="1:25">
      <c r="A106" s="83">
        <v>104</v>
      </c>
      <c r="B106" s="48"/>
      <c r="C106" s="48"/>
      <c r="D106" s="63"/>
      <c r="E106" s="69"/>
      <c r="F106" s="69"/>
      <c r="G106" s="69"/>
      <c r="H106" s="69"/>
      <c r="I106" s="63"/>
      <c r="J106" s="48"/>
      <c r="K106" s="65"/>
      <c r="L106" s="53"/>
      <c r="M106" s="53"/>
      <c r="N106" s="48"/>
      <c r="O106" s="48"/>
      <c r="P106" s="48"/>
      <c r="Q106" s="53"/>
      <c r="R106" s="53"/>
      <c r="S106" s="66"/>
      <c r="T106" s="48"/>
      <c r="U106" s="48"/>
      <c r="V106" s="48"/>
      <c r="W106" s="48"/>
      <c r="X106" s="48"/>
      <c r="Y106" s="67"/>
    </row>
    <row r="107" ht="16.5" spans="1:25">
      <c r="A107" s="83">
        <v>105</v>
      </c>
      <c r="B107" s="48"/>
      <c r="C107" s="48"/>
      <c r="D107" s="63"/>
      <c r="E107" s="69"/>
      <c r="F107" s="69"/>
      <c r="G107" s="69"/>
      <c r="H107" s="69"/>
      <c r="I107" s="63"/>
      <c r="J107" s="48"/>
      <c r="K107" s="65"/>
      <c r="L107" s="53"/>
      <c r="M107" s="53"/>
      <c r="N107" s="48"/>
      <c r="O107" s="48"/>
      <c r="P107" s="48"/>
      <c r="Q107" s="53"/>
      <c r="R107" s="53"/>
      <c r="S107" s="66"/>
      <c r="T107" s="48"/>
      <c r="U107" s="48"/>
      <c r="V107" s="48"/>
      <c r="W107" s="48"/>
      <c r="X107" s="48"/>
      <c r="Y107" s="67"/>
    </row>
    <row r="108" ht="16.5" spans="1:25">
      <c r="A108" s="83">
        <v>106</v>
      </c>
      <c r="B108" s="48"/>
      <c r="C108" s="95"/>
      <c r="D108" s="63"/>
      <c r="E108" s="69"/>
      <c r="F108" s="69"/>
      <c r="G108" s="69"/>
      <c r="H108" s="69"/>
      <c r="I108" s="63"/>
      <c r="J108" s="48"/>
      <c r="K108" s="65"/>
      <c r="L108" s="73"/>
      <c r="M108" s="53"/>
      <c r="N108" s="48"/>
      <c r="O108" s="48"/>
      <c r="P108" s="48"/>
      <c r="Q108" s="53"/>
      <c r="R108" s="53"/>
      <c r="S108" s="66"/>
      <c r="T108" s="48"/>
      <c r="U108" s="48"/>
      <c r="V108" s="48"/>
      <c r="W108" s="48"/>
      <c r="X108" s="48"/>
      <c r="Y108" s="67"/>
    </row>
    <row r="109" ht="16.5" spans="1:25">
      <c r="A109" s="83">
        <v>107</v>
      </c>
      <c r="B109" s="48"/>
      <c r="C109" s="48"/>
      <c r="D109" s="63"/>
      <c r="E109" s="50"/>
      <c r="F109" s="69"/>
      <c r="G109" s="69"/>
      <c r="H109" s="69"/>
      <c r="I109" s="63"/>
      <c r="J109" s="48"/>
      <c r="K109" s="65"/>
      <c r="L109" s="53"/>
      <c r="M109" s="53"/>
      <c r="N109" s="48"/>
      <c r="O109" s="48"/>
      <c r="P109" s="48"/>
      <c r="Q109" s="53"/>
      <c r="R109" s="53"/>
      <c r="S109" s="66"/>
      <c r="T109" s="48"/>
      <c r="U109" s="48"/>
      <c r="V109" s="48"/>
      <c r="W109" s="48"/>
      <c r="X109" s="48"/>
      <c r="Y109" s="67"/>
    </row>
    <row r="110" ht="16.5" spans="1:25">
      <c r="A110" s="83">
        <v>108</v>
      </c>
      <c r="B110" s="48"/>
      <c r="C110" s="48"/>
      <c r="D110" s="63"/>
      <c r="E110" s="50"/>
      <c r="F110" s="50"/>
      <c r="G110" s="50"/>
      <c r="H110" s="69"/>
      <c r="I110" s="63"/>
      <c r="J110" s="48"/>
      <c r="K110" s="65"/>
      <c r="L110" s="53"/>
      <c r="M110" s="53"/>
      <c r="N110" s="48"/>
      <c r="O110" s="48"/>
      <c r="P110" s="48"/>
      <c r="Q110" s="53"/>
      <c r="R110" s="53"/>
      <c r="S110" s="66"/>
      <c r="T110" s="48"/>
      <c r="U110" s="48"/>
      <c r="V110" s="48"/>
      <c r="W110" s="48"/>
      <c r="X110" s="48"/>
      <c r="Y110" s="67"/>
    </row>
    <row r="111" ht="14.25" spans="1:25">
      <c r="A111" s="83">
        <v>109</v>
      </c>
      <c r="B111" s="48"/>
      <c r="C111" s="48"/>
      <c r="D111" s="63"/>
      <c r="E111" s="50"/>
      <c r="F111" s="50"/>
      <c r="G111" s="50"/>
      <c r="H111" s="50"/>
      <c r="I111" s="63"/>
      <c r="J111" s="48"/>
      <c r="K111" s="65"/>
      <c r="L111" s="53"/>
      <c r="M111" s="53"/>
      <c r="N111" s="48"/>
      <c r="O111" s="48"/>
      <c r="P111" s="48"/>
      <c r="Q111" s="53"/>
      <c r="R111" s="53"/>
      <c r="S111" s="66"/>
      <c r="T111" s="48"/>
      <c r="U111" s="48"/>
      <c r="V111" s="48"/>
      <c r="W111" s="48"/>
      <c r="X111" s="48"/>
      <c r="Y111" s="67"/>
    </row>
    <row r="112" ht="16.5" spans="1:25">
      <c r="A112" s="83">
        <v>110</v>
      </c>
      <c r="B112" s="48"/>
      <c r="C112" s="48"/>
      <c r="D112" s="63"/>
      <c r="E112" s="50"/>
      <c r="F112" s="50"/>
      <c r="G112" s="50"/>
      <c r="H112" s="50"/>
      <c r="I112" s="63"/>
      <c r="J112" s="48"/>
      <c r="K112" s="65"/>
      <c r="L112" s="53"/>
      <c r="M112" s="53"/>
      <c r="N112" s="48"/>
      <c r="O112" s="48"/>
      <c r="P112" s="48"/>
      <c r="Q112" s="53"/>
      <c r="R112" s="53"/>
      <c r="S112" s="66"/>
      <c r="T112" s="96"/>
      <c r="U112" s="48"/>
      <c r="V112" s="48"/>
      <c r="W112" s="48"/>
      <c r="X112" s="48"/>
      <c r="Y112" s="67"/>
    </row>
    <row r="113" ht="16.5" spans="1:25">
      <c r="A113" s="83">
        <v>111</v>
      </c>
      <c r="B113" s="48"/>
      <c r="C113" s="48"/>
      <c r="D113" s="63"/>
      <c r="E113" s="50"/>
      <c r="F113" s="50"/>
      <c r="G113" s="50"/>
      <c r="H113" s="50"/>
      <c r="I113" s="63"/>
      <c r="J113" s="48"/>
      <c r="K113" s="65"/>
      <c r="L113" s="53"/>
      <c r="M113" s="53"/>
      <c r="N113" s="48"/>
      <c r="O113" s="48"/>
      <c r="P113" s="48"/>
      <c r="Q113" s="53"/>
      <c r="R113" s="53"/>
      <c r="S113" s="66"/>
      <c r="T113" s="96"/>
      <c r="U113" s="48"/>
      <c r="V113" s="48"/>
      <c r="W113" s="48"/>
      <c r="X113" s="48"/>
      <c r="Y113" s="67"/>
    </row>
    <row r="114" ht="16.5" spans="1:25">
      <c r="A114" s="83">
        <v>112</v>
      </c>
      <c r="B114" s="48"/>
      <c r="C114" s="48"/>
      <c r="D114" s="63"/>
      <c r="E114" s="69"/>
      <c r="F114" s="69"/>
      <c r="G114" s="69"/>
      <c r="H114" s="69"/>
      <c r="I114" s="63"/>
      <c r="J114" s="48"/>
      <c r="K114" s="65"/>
      <c r="L114" s="53"/>
      <c r="M114" s="53"/>
      <c r="N114" s="48"/>
      <c r="O114" s="48"/>
      <c r="P114" s="48"/>
      <c r="Q114" s="53"/>
      <c r="R114" s="53"/>
      <c r="S114" s="66"/>
      <c r="T114" s="48"/>
      <c r="U114" s="48"/>
      <c r="V114" s="48"/>
      <c r="W114" s="48"/>
      <c r="X114" s="48"/>
      <c r="Y114" s="67"/>
    </row>
    <row r="115" ht="16.5" spans="1:25">
      <c r="A115" s="83">
        <v>113</v>
      </c>
      <c r="B115" s="48"/>
      <c r="C115" s="48"/>
      <c r="D115" s="63"/>
      <c r="E115" s="69"/>
      <c r="F115" s="69"/>
      <c r="G115" s="69"/>
      <c r="H115" s="69"/>
      <c r="I115" s="63"/>
      <c r="J115" s="48"/>
      <c r="K115" s="65"/>
      <c r="L115" s="53"/>
      <c r="M115" s="53"/>
      <c r="N115" s="48"/>
      <c r="O115" s="48"/>
      <c r="P115" s="48"/>
      <c r="Q115" s="53"/>
      <c r="R115" s="53"/>
      <c r="S115" s="66"/>
      <c r="T115" s="96"/>
      <c r="U115" s="48"/>
      <c r="V115" s="48"/>
      <c r="W115" s="48"/>
      <c r="X115" s="48"/>
      <c r="Y115" s="67"/>
    </row>
    <row r="116" ht="16.5" spans="1:25">
      <c r="A116" s="83">
        <v>114</v>
      </c>
      <c r="B116" s="48"/>
      <c r="C116" s="48"/>
      <c r="D116" s="63"/>
      <c r="E116" s="69"/>
      <c r="F116" s="69"/>
      <c r="G116" s="69"/>
      <c r="H116" s="69"/>
      <c r="I116" s="63"/>
      <c r="J116" s="48"/>
      <c r="K116" s="65"/>
      <c r="L116" s="53"/>
      <c r="M116" s="53"/>
      <c r="N116" s="48"/>
      <c r="O116" s="48"/>
      <c r="P116" s="48"/>
      <c r="Q116" s="53"/>
      <c r="R116" s="53"/>
      <c r="S116" s="66"/>
      <c r="T116" s="48"/>
      <c r="U116" s="48"/>
      <c r="V116" s="48"/>
      <c r="W116" s="48"/>
      <c r="X116" s="48"/>
    </row>
    <row r="117" ht="16.5" spans="1:25">
      <c r="A117" s="83">
        <v>115</v>
      </c>
      <c r="B117" s="48"/>
      <c r="C117" s="48"/>
      <c r="D117" s="63"/>
      <c r="E117" s="69"/>
      <c r="F117" s="69"/>
      <c r="G117" s="69"/>
      <c r="H117" s="69"/>
      <c r="I117" s="63"/>
      <c r="J117" s="48"/>
      <c r="K117" s="65"/>
      <c r="L117" s="53"/>
      <c r="M117" s="53"/>
      <c r="N117" s="48"/>
      <c r="O117" s="48"/>
      <c r="P117" s="48"/>
      <c r="Q117" s="53"/>
      <c r="R117" s="53"/>
      <c r="S117" s="66"/>
      <c r="T117" s="96"/>
      <c r="U117" s="48"/>
      <c r="V117" s="48"/>
      <c r="W117" s="48"/>
      <c r="X117" s="48"/>
    </row>
    <row r="118" customHeight="1" spans="1:25">
      <c r="A118" s="83">
        <v>116</v>
      </c>
      <c r="B118" s="48"/>
      <c r="C118" s="48"/>
      <c r="D118" s="63"/>
      <c r="E118" s="50"/>
      <c r="F118" s="50"/>
      <c r="G118" s="50"/>
      <c r="H118" s="50"/>
      <c r="I118" s="63"/>
      <c r="J118" s="48"/>
      <c r="K118" s="65"/>
      <c r="L118" s="53"/>
      <c r="M118" s="53"/>
      <c r="N118" s="48"/>
      <c r="O118" s="48"/>
      <c r="P118" s="48"/>
      <c r="Q118" s="53"/>
      <c r="R118" s="53"/>
      <c r="S118" s="66"/>
      <c r="T118" s="48"/>
      <c r="U118" s="48"/>
      <c r="V118" s="48"/>
      <c r="W118" s="48"/>
      <c r="X118" s="48"/>
    </row>
    <row r="119" customHeight="1" spans="1:25">
      <c r="A119" s="83">
        <v>117</v>
      </c>
      <c r="B119" s="48"/>
      <c r="C119" s="48"/>
      <c r="D119" s="63"/>
      <c r="E119" s="50"/>
      <c r="F119" s="50"/>
      <c r="G119" s="50"/>
      <c r="H119" s="50"/>
      <c r="I119" s="63"/>
      <c r="J119" s="48"/>
      <c r="K119" s="65"/>
      <c r="L119" s="53"/>
      <c r="M119" s="53"/>
      <c r="N119" s="48"/>
      <c r="O119" s="48"/>
      <c r="P119" s="48"/>
      <c r="Q119" s="53"/>
      <c r="R119" s="53"/>
      <c r="S119" s="66"/>
      <c r="T119" s="48"/>
      <c r="U119" s="48"/>
      <c r="V119" s="48"/>
      <c r="W119" s="48"/>
      <c r="X119" s="48"/>
    </row>
    <row r="120" customHeight="1" spans="1:25">
      <c r="A120" s="83">
        <v>118</v>
      </c>
      <c r="B120" s="97"/>
      <c r="C120" s="97"/>
      <c r="D120" s="98"/>
      <c r="E120" s="99"/>
      <c r="F120" s="99"/>
      <c r="G120" s="99"/>
      <c r="H120" s="99"/>
      <c r="I120" s="98"/>
      <c r="J120" s="97"/>
      <c r="K120" s="100"/>
      <c r="L120" s="101"/>
      <c r="M120" s="101"/>
      <c r="N120" s="97"/>
      <c r="O120" s="97"/>
      <c r="P120" s="97"/>
      <c r="Q120" s="101"/>
      <c r="R120" s="101"/>
      <c r="S120" s="102"/>
      <c r="T120" s="97"/>
      <c r="U120" s="97"/>
      <c r="V120" s="97"/>
      <c r="W120" s="97"/>
      <c r="X120" s="97"/>
    </row>
    <row r="121" ht="135" customHeight="1" spans="1:25">
      <c r="A121" s="83">
        <v>119</v>
      </c>
      <c r="B121" s="48"/>
      <c r="C121" s="48"/>
      <c r="D121" s="63"/>
      <c r="E121" s="50"/>
      <c r="F121" s="50"/>
      <c r="G121" s="50"/>
      <c r="H121" s="50"/>
      <c r="I121" s="63"/>
      <c r="J121" s="48"/>
      <c r="K121" s="65"/>
      <c r="L121" s="53"/>
      <c r="M121" s="53"/>
      <c r="N121" s="48"/>
      <c r="O121" s="48"/>
      <c r="P121" s="48"/>
      <c r="Q121" s="53"/>
      <c r="R121" s="53"/>
      <c r="S121" s="66"/>
      <c r="T121" s="48"/>
      <c r="U121" s="48"/>
      <c r="V121" s="48"/>
      <c r="W121" s="48"/>
      <c r="X121" s="48"/>
      <c r="Y121" s="67"/>
    </row>
    <row r="122" ht="108" customHeight="1" spans="1:25">
      <c r="A122" s="83">
        <v>120</v>
      </c>
      <c r="B122" s="48"/>
      <c r="C122" s="48"/>
      <c r="D122" s="63"/>
      <c r="E122" s="50"/>
      <c r="F122" s="50"/>
      <c r="G122" s="50"/>
      <c r="H122" s="50"/>
      <c r="I122" s="63"/>
      <c r="J122" s="48"/>
      <c r="K122" s="65"/>
      <c r="L122" s="53"/>
      <c r="M122" s="53"/>
      <c r="N122" s="48"/>
      <c r="O122" s="48"/>
      <c r="P122" s="48"/>
      <c r="Q122" s="53"/>
      <c r="R122" s="53"/>
      <c r="S122" s="66"/>
      <c r="T122" s="48"/>
      <c r="U122" s="48"/>
      <c r="V122" s="97"/>
      <c r="W122" s="97"/>
      <c r="X122" s="48"/>
      <c r="Y122" s="67"/>
    </row>
    <row r="123" ht="187.5" customHeight="1" spans="1:25">
      <c r="A123" s="83">
        <v>121</v>
      </c>
      <c r="B123" s="48"/>
      <c r="C123" s="48"/>
      <c r="D123" s="63"/>
      <c r="E123" s="103"/>
      <c r="F123" s="103"/>
      <c r="G123" s="103"/>
      <c r="H123" s="103"/>
      <c r="I123" s="63"/>
      <c r="J123" s="48"/>
      <c r="K123" s="65"/>
      <c r="L123" s="104"/>
      <c r="M123" s="53"/>
      <c r="N123" s="48"/>
      <c r="O123" s="48"/>
      <c r="P123" s="48"/>
      <c r="Q123" s="53"/>
      <c r="R123" s="53"/>
      <c r="S123" s="66"/>
      <c r="T123" s="48"/>
      <c r="U123" s="48"/>
      <c r="V123" s="48"/>
      <c r="W123" s="48"/>
      <c r="X123" s="48"/>
      <c r="Y123" s="53"/>
    </row>
    <row r="124" customHeight="1" spans="1:25">
      <c r="A124" s="83">
        <v>122</v>
      </c>
      <c r="B124" s="48"/>
      <c r="C124" s="48"/>
      <c r="D124" s="63"/>
      <c r="E124" s="103"/>
      <c r="F124" s="103"/>
      <c r="G124" s="103"/>
      <c r="H124" s="103"/>
      <c r="I124" s="63"/>
      <c r="J124" s="48"/>
      <c r="K124" s="65"/>
      <c r="L124" s="53"/>
      <c r="M124" s="53"/>
      <c r="N124" s="48"/>
      <c r="O124" s="48"/>
      <c r="P124" s="48"/>
      <c r="Q124" s="53"/>
      <c r="R124" s="53"/>
      <c r="S124" s="66"/>
      <c r="T124" s="48"/>
      <c r="U124" s="48"/>
      <c r="V124" s="48"/>
      <c r="W124" s="48"/>
      <c r="X124" s="48"/>
      <c r="Y124" s="67"/>
    </row>
    <row r="125" ht="141.6" customHeight="1" spans="1:25">
      <c r="A125" s="83">
        <v>123</v>
      </c>
      <c r="B125" s="48"/>
      <c r="C125" s="48"/>
      <c r="D125" s="63"/>
      <c r="E125" s="103"/>
      <c r="F125" s="103"/>
      <c r="G125" s="103"/>
      <c r="H125" s="103"/>
      <c r="I125" s="63"/>
      <c r="J125" s="48"/>
      <c r="K125" s="65"/>
      <c r="L125" s="53"/>
      <c r="M125" s="53"/>
      <c r="N125" s="48"/>
      <c r="O125" s="48"/>
      <c r="P125" s="48"/>
      <c r="Q125" s="53"/>
      <c r="R125" s="53"/>
      <c r="S125" s="66"/>
      <c r="T125" s="48"/>
      <c r="U125" s="48"/>
      <c r="V125" s="48"/>
      <c r="W125" s="48"/>
      <c r="X125" s="48"/>
      <c r="Y125" s="67"/>
    </row>
    <row r="126" ht="16.5" spans="1:25">
      <c r="A126" s="83">
        <v>124</v>
      </c>
      <c r="B126" s="48"/>
      <c r="C126" s="48"/>
      <c r="D126" s="63"/>
      <c r="E126" s="103"/>
      <c r="F126" s="103"/>
      <c r="G126" s="103"/>
      <c r="H126" s="103"/>
      <c r="I126" s="63"/>
      <c r="J126" s="48"/>
      <c r="K126" s="65"/>
      <c r="L126" s="53"/>
      <c r="M126" s="53"/>
      <c r="N126" s="48"/>
      <c r="O126" s="48"/>
      <c r="P126" s="48"/>
      <c r="Q126" s="53"/>
      <c r="R126" s="53"/>
      <c r="S126" s="66"/>
      <c r="T126" s="48"/>
      <c r="U126" s="48"/>
      <c r="V126" s="48"/>
      <c r="W126" s="48"/>
      <c r="X126" s="48"/>
      <c r="Y126" s="67"/>
    </row>
    <row r="127" ht="16.5" spans="1:25">
      <c r="A127" s="83">
        <v>125</v>
      </c>
      <c r="B127" s="48"/>
      <c r="C127" s="48"/>
      <c r="D127" s="63"/>
      <c r="E127" s="103"/>
      <c r="F127" s="103"/>
      <c r="G127" s="103"/>
      <c r="H127" s="103"/>
      <c r="I127" s="63"/>
      <c r="J127" s="48"/>
      <c r="K127" s="65"/>
      <c r="L127" s="53"/>
      <c r="M127" s="53"/>
      <c r="N127" s="48"/>
      <c r="O127" s="48"/>
      <c r="P127" s="48"/>
      <c r="Q127" s="53"/>
      <c r="R127" s="53"/>
      <c r="S127" s="66"/>
      <c r="T127" s="48"/>
      <c r="U127" s="48"/>
      <c r="V127" s="48"/>
      <c r="W127" s="48"/>
      <c r="X127" s="48"/>
      <c r="Y127" s="67"/>
    </row>
    <row r="128" ht="316.15" customHeight="1" spans="1:25">
      <c r="A128" s="83">
        <v>126</v>
      </c>
      <c r="B128" s="48"/>
      <c r="C128" s="48"/>
      <c r="D128" s="63"/>
      <c r="E128" s="103"/>
      <c r="F128" s="103"/>
      <c r="G128" s="103"/>
      <c r="H128" s="103"/>
      <c r="I128" s="63"/>
      <c r="J128" s="48"/>
      <c r="K128" s="65"/>
      <c r="L128" s="53"/>
      <c r="M128" s="53"/>
      <c r="N128" s="48"/>
      <c r="O128" s="48"/>
      <c r="P128" s="48"/>
      <c r="Q128" s="53"/>
      <c r="R128" s="53"/>
      <c r="S128" s="66"/>
      <c r="T128" s="48"/>
      <c r="U128" s="48"/>
      <c r="V128" s="48"/>
      <c r="W128" s="48"/>
      <c r="X128" s="48"/>
      <c r="Y128" s="67"/>
    </row>
    <row r="129" ht="165.75" customHeight="1" spans="1:25">
      <c r="A129" s="83">
        <v>127</v>
      </c>
      <c r="B129" s="48"/>
      <c r="C129" s="48"/>
      <c r="D129" s="63"/>
      <c r="E129" s="50"/>
      <c r="F129" s="50"/>
      <c r="G129" s="50"/>
      <c r="H129" s="50"/>
      <c r="I129" s="63"/>
      <c r="J129" s="48"/>
      <c r="K129" s="65"/>
      <c r="L129" s="53"/>
      <c r="M129" s="53"/>
      <c r="N129" s="48"/>
      <c r="O129" s="48"/>
      <c r="P129" s="48"/>
      <c r="Q129" s="53"/>
      <c r="R129" s="96"/>
      <c r="S129" s="96"/>
      <c r="T129" s="48"/>
      <c r="U129" s="48"/>
      <c r="V129" s="48"/>
      <c r="W129" s="48"/>
      <c r="X129" s="48"/>
      <c r="Y129" s="67"/>
    </row>
    <row r="130" ht="16.5" spans="1:25">
      <c r="A130" s="83">
        <v>128</v>
      </c>
      <c r="B130" s="48"/>
      <c r="C130" s="48"/>
      <c r="D130" s="63"/>
      <c r="E130" s="64"/>
      <c r="F130" s="64"/>
      <c r="G130" s="64"/>
      <c r="H130" s="64"/>
      <c r="I130" s="63"/>
      <c r="J130" s="48"/>
      <c r="K130" s="65"/>
      <c r="L130" s="53"/>
      <c r="M130" s="53"/>
      <c r="N130" s="48"/>
      <c r="O130" s="48"/>
      <c r="P130" s="48"/>
      <c r="Q130" s="53"/>
      <c r="R130" s="105"/>
      <c r="S130" s="106"/>
      <c r="T130" s="48"/>
      <c r="U130" s="48"/>
      <c r="V130" s="48"/>
      <c r="W130" s="48"/>
      <c r="X130" s="48"/>
      <c r="Y130" s="67"/>
    </row>
    <row r="131" ht="16.5" spans="1:25">
      <c r="A131" s="83">
        <v>129</v>
      </c>
      <c r="B131" s="48"/>
      <c r="C131" s="48"/>
      <c r="D131" s="63"/>
      <c r="E131" s="69"/>
      <c r="F131" s="69"/>
      <c r="G131" s="69"/>
      <c r="H131" s="64"/>
      <c r="I131" s="63"/>
      <c r="J131" s="48"/>
      <c r="K131" s="65"/>
      <c r="L131" s="73"/>
      <c r="M131" s="53"/>
      <c r="N131" s="48"/>
      <c r="O131" s="48"/>
      <c r="P131" s="48"/>
      <c r="Q131" s="53"/>
      <c r="R131" s="53"/>
      <c r="S131" s="66"/>
      <c r="T131" s="48"/>
      <c r="U131" s="48"/>
      <c r="V131" s="48"/>
      <c r="W131" s="48"/>
      <c r="X131" s="48"/>
      <c r="Y131" s="67"/>
    </row>
    <row r="132" ht="16.5" spans="1:25">
      <c r="A132" s="83">
        <v>130</v>
      </c>
      <c r="B132" s="48"/>
      <c r="C132" s="48"/>
      <c r="D132" s="63"/>
      <c r="E132" s="64"/>
      <c r="F132" s="69"/>
      <c r="G132" s="69"/>
      <c r="H132" s="64"/>
      <c r="I132" s="63"/>
      <c r="J132" s="48"/>
      <c r="K132" s="65"/>
      <c r="L132" s="72"/>
      <c r="M132" s="53"/>
      <c r="N132" s="48"/>
      <c r="O132" s="48"/>
      <c r="P132" s="48"/>
      <c r="Q132" s="53"/>
      <c r="R132" s="53"/>
      <c r="S132" s="66"/>
      <c r="T132" s="48"/>
      <c r="U132" s="48"/>
      <c r="V132" s="48"/>
      <c r="W132" s="48"/>
      <c r="X132" s="48"/>
      <c r="Y132" s="67"/>
    </row>
    <row r="133" ht="16.5" spans="1:25">
      <c r="A133" s="83">
        <v>131</v>
      </c>
      <c r="B133" s="48"/>
      <c r="C133" s="48"/>
      <c r="D133" s="63"/>
      <c r="E133" s="64"/>
      <c r="F133" s="69"/>
      <c r="G133" s="69"/>
      <c r="H133" s="64"/>
      <c r="I133" s="63"/>
      <c r="J133" s="48"/>
      <c r="K133" s="65"/>
      <c r="L133" s="73"/>
      <c r="M133" s="53"/>
      <c r="N133" s="48"/>
      <c r="O133" s="48"/>
      <c r="P133" s="48"/>
      <c r="Q133" s="53"/>
      <c r="R133" s="53"/>
      <c r="S133" s="66"/>
      <c r="T133" s="48"/>
      <c r="U133" s="48"/>
      <c r="V133" s="48"/>
      <c r="W133" s="48"/>
      <c r="X133" s="48"/>
      <c r="Y133" s="67"/>
    </row>
    <row r="134" ht="181.5" customHeight="1" spans="1:25">
      <c r="A134" s="83">
        <v>132</v>
      </c>
      <c r="B134" s="48"/>
      <c r="C134" s="48"/>
      <c r="D134" s="63"/>
      <c r="E134" s="50"/>
      <c r="F134" s="50"/>
      <c r="G134" s="50"/>
      <c r="H134" s="50"/>
      <c r="I134" s="63"/>
      <c r="J134" s="48"/>
      <c r="K134" s="65"/>
      <c r="L134" s="53"/>
      <c r="M134" s="53"/>
      <c r="N134" s="48"/>
      <c r="O134" s="48"/>
      <c r="P134" s="48"/>
      <c r="Q134" s="53"/>
      <c r="R134" s="53"/>
      <c r="S134" s="53"/>
      <c r="T134" s="48"/>
      <c r="U134" s="48"/>
      <c r="V134" s="48"/>
      <c r="W134" s="48"/>
      <c r="X134" s="48"/>
      <c r="Y134" s="67"/>
    </row>
    <row r="135" ht="150.75" customHeight="1" spans="1:25">
      <c r="A135" s="83">
        <v>133</v>
      </c>
      <c r="B135" s="48"/>
      <c r="C135" s="48"/>
      <c r="D135" s="63"/>
      <c r="E135" s="50"/>
      <c r="F135" s="50"/>
      <c r="G135" s="50"/>
      <c r="H135" s="50"/>
      <c r="I135" s="63"/>
      <c r="J135" s="48"/>
      <c r="K135" s="65"/>
      <c r="L135" s="53"/>
      <c r="M135" s="53"/>
      <c r="N135" s="48"/>
      <c r="O135" s="48"/>
      <c r="P135" s="48"/>
      <c r="Q135" s="53"/>
      <c r="R135" s="53"/>
      <c r="S135" s="66"/>
      <c r="T135" s="48"/>
      <c r="U135" s="48"/>
      <c r="V135" s="48"/>
      <c r="W135" s="48"/>
      <c r="X135" s="48"/>
      <c r="Y135" s="67"/>
    </row>
    <row r="136" ht="108" customHeight="1" spans="1:25">
      <c r="A136" s="83">
        <v>134</v>
      </c>
      <c r="B136" s="48"/>
      <c r="C136" s="48"/>
      <c r="D136" s="63"/>
      <c r="E136" s="103"/>
      <c r="F136" s="103"/>
      <c r="G136" s="103"/>
      <c r="H136" s="103"/>
      <c r="I136" s="63"/>
      <c r="J136" s="48"/>
      <c r="K136" s="65"/>
      <c r="L136" s="53"/>
      <c r="M136" s="53"/>
      <c r="N136" s="48"/>
      <c r="O136" s="48"/>
      <c r="P136" s="48"/>
      <c r="Q136" s="53"/>
      <c r="R136" s="53"/>
      <c r="S136" s="66"/>
      <c r="T136" s="48"/>
      <c r="U136" s="48"/>
      <c r="V136" s="48"/>
      <c r="W136" s="48"/>
      <c r="X136" s="48"/>
      <c r="Y136" s="67"/>
    </row>
    <row r="137" ht="16.5" spans="1:25">
      <c r="A137" s="83">
        <v>135</v>
      </c>
      <c r="B137" s="48"/>
      <c r="C137" s="48"/>
      <c r="D137" s="63"/>
      <c r="E137" s="103"/>
      <c r="F137" s="103"/>
      <c r="G137" s="103"/>
      <c r="H137" s="103"/>
      <c r="I137" s="63"/>
      <c r="J137" s="48"/>
      <c r="K137" s="65"/>
      <c r="L137" s="53"/>
      <c r="M137" s="53"/>
      <c r="N137" s="48"/>
      <c r="O137" s="48"/>
      <c r="P137" s="48"/>
      <c r="Q137" s="53"/>
      <c r="R137" s="53"/>
      <c r="S137" s="66"/>
      <c r="T137" s="48"/>
      <c r="U137" s="48"/>
      <c r="V137" s="48"/>
      <c r="W137" s="48"/>
      <c r="X137" s="48"/>
      <c r="Y137" s="67"/>
    </row>
    <row r="138" ht="16.5" spans="1:25">
      <c r="A138" s="83">
        <v>136</v>
      </c>
      <c r="B138" s="48"/>
      <c r="C138" s="48"/>
      <c r="D138" s="63"/>
      <c r="E138" s="103"/>
      <c r="F138" s="103"/>
      <c r="G138" s="103"/>
      <c r="H138" s="103"/>
      <c r="I138" s="63"/>
      <c r="J138" s="48"/>
      <c r="K138" s="65"/>
      <c r="L138" s="53"/>
      <c r="M138" s="53"/>
      <c r="N138" s="48"/>
      <c r="O138" s="48"/>
      <c r="P138" s="48"/>
      <c r="Q138" s="53"/>
      <c r="R138" s="53"/>
      <c r="S138" s="66"/>
      <c r="T138" s="48"/>
      <c r="U138" s="48"/>
      <c r="V138" s="48"/>
      <c r="W138" s="48"/>
      <c r="X138" s="48"/>
      <c r="Y138" s="67"/>
    </row>
    <row r="139" ht="16.5" spans="1:25">
      <c r="A139" s="83">
        <v>137</v>
      </c>
      <c r="B139" s="48"/>
      <c r="C139" s="48"/>
      <c r="D139" s="63"/>
      <c r="E139" s="69"/>
      <c r="F139" s="69"/>
      <c r="G139" s="69"/>
      <c r="H139" s="103"/>
      <c r="I139" s="63"/>
      <c r="J139" s="48"/>
      <c r="K139" s="65"/>
      <c r="L139" s="53"/>
      <c r="M139" s="53"/>
      <c r="N139" s="48"/>
      <c r="O139" s="48"/>
      <c r="P139" s="48"/>
      <c r="Q139" s="53"/>
      <c r="R139" s="53"/>
      <c r="S139" s="66"/>
      <c r="T139" s="48"/>
      <c r="U139" s="48"/>
      <c r="V139" s="48"/>
      <c r="W139" s="48"/>
      <c r="X139" s="48"/>
      <c r="Y139" s="67"/>
    </row>
    <row r="140" ht="16.5" spans="1:25">
      <c r="A140" s="83">
        <v>138</v>
      </c>
      <c r="B140" s="48"/>
      <c r="C140" s="48"/>
      <c r="D140" s="63"/>
      <c r="E140" s="103"/>
      <c r="F140" s="103"/>
      <c r="G140" s="103"/>
      <c r="H140" s="103"/>
      <c r="I140" s="63"/>
      <c r="J140" s="48"/>
      <c r="K140" s="65"/>
      <c r="L140" s="53"/>
      <c r="M140" s="53"/>
      <c r="N140" s="48"/>
      <c r="O140" s="48"/>
      <c r="P140" s="48"/>
      <c r="Q140" s="53"/>
      <c r="R140" s="53"/>
      <c r="S140" s="66"/>
      <c r="T140" s="48"/>
      <c r="U140" s="48"/>
      <c r="V140" s="48"/>
      <c r="W140" s="48"/>
      <c r="X140" s="48"/>
      <c r="Y140" s="67"/>
    </row>
    <row r="141" ht="16.5" spans="1:25">
      <c r="A141" s="83">
        <v>139</v>
      </c>
      <c r="B141" s="48"/>
      <c r="C141" s="48"/>
      <c r="D141" s="63"/>
      <c r="E141" s="107"/>
      <c r="F141" s="103"/>
      <c r="G141" s="103"/>
      <c r="H141" s="103"/>
      <c r="I141" s="63"/>
      <c r="J141" s="48"/>
      <c r="K141" s="65"/>
      <c r="L141" s="53"/>
      <c r="M141" s="53"/>
      <c r="N141" s="48"/>
      <c r="O141" s="48"/>
      <c r="P141" s="48"/>
      <c r="Q141" s="53"/>
      <c r="R141" s="53"/>
      <c r="S141" s="66"/>
      <c r="T141" s="48"/>
      <c r="U141" s="48"/>
      <c r="V141" s="48"/>
      <c r="W141" s="48"/>
      <c r="X141" s="48"/>
      <c r="Y141" s="67"/>
    </row>
    <row r="142" ht="16.5" spans="1:25">
      <c r="A142" s="83">
        <v>140</v>
      </c>
      <c r="B142" s="48"/>
      <c r="C142" s="48"/>
      <c r="D142" s="63"/>
      <c r="E142" s="103"/>
      <c r="F142" s="103"/>
      <c r="G142" s="103"/>
      <c r="H142" s="103"/>
      <c r="I142" s="63"/>
      <c r="J142" s="48"/>
      <c r="K142" s="65"/>
      <c r="L142" s="53"/>
      <c r="M142" s="53"/>
      <c r="N142" s="48"/>
      <c r="O142" s="48"/>
      <c r="P142" s="48"/>
      <c r="Q142" s="53"/>
      <c r="R142" s="53"/>
      <c r="S142" s="66"/>
      <c r="T142" s="48"/>
      <c r="U142" s="48"/>
      <c r="V142" s="48"/>
      <c r="W142" s="48"/>
      <c r="X142" s="48"/>
      <c r="Y142" s="67"/>
    </row>
    <row r="143" ht="16.5" spans="1:25">
      <c r="A143" s="83">
        <v>141</v>
      </c>
      <c r="B143" s="48"/>
      <c r="C143" s="48"/>
      <c r="D143" s="63"/>
      <c r="E143" s="103"/>
      <c r="F143" s="103"/>
      <c r="G143" s="103"/>
      <c r="H143" s="103"/>
      <c r="I143" s="63"/>
      <c r="J143" s="48"/>
      <c r="K143" s="65"/>
      <c r="L143" s="53"/>
      <c r="M143" s="53"/>
      <c r="N143" s="48"/>
      <c r="O143" s="48"/>
      <c r="P143" s="48"/>
      <c r="Q143" s="53"/>
      <c r="R143" s="53"/>
      <c r="S143" s="66"/>
      <c r="T143" s="48"/>
      <c r="U143" s="48"/>
      <c r="V143" s="48"/>
      <c r="W143" s="48"/>
      <c r="X143" s="48"/>
      <c r="Y143" s="67"/>
    </row>
    <row r="144" ht="16.5" spans="1:25">
      <c r="A144" s="83">
        <v>142</v>
      </c>
      <c r="B144" s="48"/>
      <c r="C144" s="48"/>
      <c r="D144" s="63"/>
      <c r="E144" s="103"/>
      <c r="F144" s="103"/>
      <c r="G144" s="103"/>
      <c r="H144" s="103"/>
      <c r="I144" s="63"/>
      <c r="J144" s="48"/>
      <c r="K144" s="65"/>
      <c r="L144" s="53"/>
      <c r="M144" s="53"/>
      <c r="N144" s="48"/>
      <c r="O144" s="48"/>
      <c r="P144" s="48"/>
      <c r="Q144" s="53"/>
      <c r="R144" s="53"/>
      <c r="S144" s="66"/>
      <c r="T144" s="48"/>
      <c r="U144" s="48"/>
      <c r="V144" s="48"/>
      <c r="W144" s="48"/>
      <c r="X144" s="48"/>
      <c r="Y144" s="67"/>
    </row>
    <row r="145" ht="16.5" spans="1:25">
      <c r="A145" s="83">
        <v>143</v>
      </c>
      <c r="B145" s="48"/>
      <c r="C145" s="48"/>
      <c r="D145" s="63"/>
      <c r="E145" s="107"/>
      <c r="F145" s="50"/>
      <c r="G145" s="50"/>
      <c r="H145" s="50"/>
      <c r="I145" s="63"/>
      <c r="J145" s="48"/>
      <c r="K145" s="65"/>
      <c r="L145" s="53"/>
      <c r="M145" s="53"/>
      <c r="N145" s="48"/>
      <c r="O145" s="48"/>
      <c r="P145" s="48"/>
      <c r="Q145" s="53"/>
      <c r="R145" s="53"/>
      <c r="S145" s="106"/>
      <c r="T145" s="48"/>
      <c r="U145" s="48"/>
      <c r="V145" s="48"/>
      <c r="W145" s="48"/>
      <c r="X145" s="48"/>
      <c r="Y145" s="67"/>
    </row>
    <row r="146" ht="16.5" spans="1:25">
      <c r="A146" s="83">
        <v>144</v>
      </c>
      <c r="B146" s="48"/>
      <c r="C146" s="48"/>
      <c r="D146" s="63"/>
      <c r="E146" s="69"/>
      <c r="F146" s="50"/>
      <c r="G146" s="50"/>
      <c r="H146" s="50"/>
      <c r="I146" s="63"/>
      <c r="J146" s="48"/>
      <c r="K146" s="65"/>
      <c r="L146" s="53"/>
      <c r="M146" s="53"/>
      <c r="N146" s="48"/>
      <c r="O146" s="48"/>
      <c r="P146" s="48"/>
      <c r="Q146" s="53"/>
      <c r="R146" s="53"/>
      <c r="S146" s="66"/>
      <c r="T146" s="48"/>
      <c r="U146" s="48"/>
      <c r="V146" s="48"/>
      <c r="W146" s="48"/>
      <c r="X146" s="48"/>
      <c r="Y146" s="67"/>
    </row>
    <row r="147" ht="16.5" spans="1:25">
      <c r="A147" s="83">
        <v>145</v>
      </c>
      <c r="B147" s="48"/>
      <c r="C147" s="48"/>
      <c r="D147" s="63"/>
      <c r="E147" s="64"/>
      <c r="F147" s="64"/>
      <c r="G147" s="64"/>
      <c r="H147" s="64"/>
      <c r="I147" s="63"/>
      <c r="J147" s="48"/>
      <c r="K147" s="65"/>
      <c r="L147" s="53"/>
      <c r="M147" s="53"/>
      <c r="N147" s="48"/>
      <c r="O147" s="48"/>
      <c r="P147" s="48"/>
      <c r="Q147" s="53"/>
      <c r="R147" s="53"/>
      <c r="S147" s="66"/>
      <c r="T147" s="48"/>
      <c r="U147" s="48"/>
      <c r="V147" s="48"/>
      <c r="W147" s="48"/>
      <c r="X147" s="48"/>
      <c r="Y147" s="67"/>
    </row>
    <row r="148" ht="16.5" spans="1:25">
      <c r="A148" s="83">
        <v>146</v>
      </c>
      <c r="B148" s="48"/>
      <c r="C148" s="48"/>
      <c r="D148" s="63"/>
      <c r="E148" s="64"/>
      <c r="F148" s="64"/>
      <c r="G148" s="64"/>
      <c r="H148" s="103"/>
      <c r="I148" s="63"/>
      <c r="J148" s="48"/>
      <c r="K148" s="65"/>
      <c r="L148" s="53"/>
      <c r="M148" s="53"/>
      <c r="N148" s="48"/>
      <c r="O148" s="48"/>
      <c r="P148" s="48"/>
      <c r="Q148" s="53"/>
      <c r="R148" s="53"/>
      <c r="S148" s="66"/>
      <c r="T148" s="48"/>
      <c r="U148" s="48"/>
      <c r="V148" s="48"/>
      <c r="W148" s="48"/>
      <c r="X148" s="48"/>
      <c r="Y148" s="67"/>
    </row>
    <row r="149" ht="16.5" spans="1:25">
      <c r="A149" s="83">
        <v>147</v>
      </c>
      <c r="B149" s="48"/>
      <c r="C149" s="48"/>
      <c r="D149" s="63"/>
      <c r="E149" s="64"/>
      <c r="F149" s="64"/>
      <c r="G149" s="64"/>
      <c r="H149" s="103"/>
      <c r="I149" s="63"/>
      <c r="J149" s="48"/>
      <c r="K149" s="65"/>
      <c r="L149" s="53"/>
      <c r="M149" s="53"/>
      <c r="N149" s="48"/>
      <c r="O149" s="48"/>
      <c r="P149" s="48"/>
      <c r="Q149" s="53"/>
      <c r="R149" s="53"/>
      <c r="S149" s="66"/>
      <c r="T149" s="48"/>
      <c r="U149" s="48"/>
      <c r="V149" s="48"/>
      <c r="W149" s="48"/>
      <c r="X149" s="48"/>
      <c r="Y149" s="67"/>
    </row>
    <row r="150" ht="16.5" spans="1:25">
      <c r="A150" s="83">
        <v>148</v>
      </c>
      <c r="B150" s="48"/>
      <c r="C150" s="48"/>
      <c r="D150" s="63"/>
      <c r="E150" s="64"/>
      <c r="F150" s="64"/>
      <c r="G150" s="64"/>
      <c r="H150" s="64"/>
      <c r="I150" s="63"/>
      <c r="J150" s="48"/>
      <c r="K150" s="65"/>
      <c r="L150" s="53"/>
      <c r="M150" s="53"/>
      <c r="N150" s="48"/>
      <c r="O150" s="48"/>
      <c r="P150" s="48"/>
      <c r="Q150" s="53"/>
      <c r="R150" s="53"/>
      <c r="S150" s="66"/>
      <c r="T150" s="48"/>
      <c r="U150" s="48"/>
      <c r="V150" s="48"/>
      <c r="W150" s="48"/>
      <c r="X150" s="48"/>
      <c r="Y150" s="67"/>
    </row>
    <row r="151" ht="16.5" spans="1:25">
      <c r="A151" s="83">
        <v>149</v>
      </c>
      <c r="B151" s="48"/>
      <c r="C151" s="48"/>
      <c r="D151" s="63"/>
      <c r="E151" s="64"/>
      <c r="F151" s="64"/>
      <c r="G151" s="64"/>
      <c r="H151" s="103"/>
      <c r="I151" s="63"/>
      <c r="J151" s="48"/>
      <c r="K151" s="65"/>
      <c r="L151" s="53"/>
      <c r="M151" s="53"/>
      <c r="N151" s="48"/>
      <c r="O151" s="48"/>
      <c r="P151" s="48"/>
      <c r="Q151" s="53"/>
      <c r="R151" s="53"/>
      <c r="S151" s="66"/>
      <c r="T151" s="48"/>
      <c r="U151" s="48"/>
      <c r="V151" s="48"/>
      <c r="W151" s="48"/>
      <c r="X151" s="48"/>
      <c r="Y151" s="67"/>
    </row>
    <row r="152" ht="16.5" spans="1:25">
      <c r="A152" s="83">
        <v>150</v>
      </c>
      <c r="B152" s="48"/>
      <c r="C152" s="48"/>
      <c r="D152" s="63"/>
      <c r="E152" s="64"/>
      <c r="F152" s="64"/>
      <c r="G152" s="64"/>
      <c r="H152" s="64"/>
      <c r="I152" s="63"/>
      <c r="J152" s="48"/>
      <c r="K152" s="65"/>
      <c r="L152" s="53"/>
      <c r="M152" s="53"/>
      <c r="N152" s="48"/>
      <c r="O152" s="48"/>
      <c r="P152" s="48"/>
      <c r="Q152" s="53"/>
      <c r="R152" s="53"/>
      <c r="S152" s="66"/>
      <c r="T152" s="48"/>
      <c r="U152" s="48"/>
      <c r="V152" s="48"/>
      <c r="W152" s="48"/>
      <c r="X152" s="48"/>
      <c r="Y152" s="67"/>
    </row>
    <row r="153" ht="16.5" spans="1:25">
      <c r="A153" s="83">
        <v>151</v>
      </c>
      <c r="B153" s="48"/>
      <c r="C153" s="48"/>
      <c r="D153" s="63"/>
      <c r="E153" s="64"/>
      <c r="F153" s="64"/>
      <c r="G153" s="64"/>
      <c r="H153" s="64"/>
      <c r="I153" s="63"/>
      <c r="J153" s="48"/>
      <c r="K153" s="65"/>
      <c r="L153" s="72"/>
      <c r="M153" s="53"/>
      <c r="N153" s="48"/>
      <c r="O153" s="48"/>
      <c r="P153" s="48"/>
      <c r="Q153" s="53"/>
      <c r="R153" s="53"/>
      <c r="S153" s="66"/>
      <c r="T153" s="48"/>
      <c r="U153" s="48"/>
      <c r="V153" s="48"/>
      <c r="W153" s="48"/>
      <c r="X153" s="48"/>
      <c r="Y153" s="67"/>
    </row>
    <row r="154" customHeight="1" spans="1:25">
      <c r="A154" s="83">
        <v>152</v>
      </c>
      <c r="B154" s="48"/>
      <c r="C154" s="48"/>
      <c r="D154" s="63"/>
      <c r="E154" s="103"/>
      <c r="F154" s="103"/>
      <c r="G154" s="103"/>
      <c r="H154" s="103"/>
      <c r="I154" s="63"/>
      <c r="J154" s="48"/>
      <c r="K154" s="65"/>
      <c r="L154" s="53"/>
      <c r="M154" s="53"/>
      <c r="N154" s="48"/>
      <c r="O154" s="48"/>
      <c r="P154" s="48"/>
      <c r="Q154" s="53"/>
      <c r="R154" s="53"/>
      <c r="S154" s="66"/>
      <c r="T154" s="48"/>
      <c r="U154" s="48"/>
      <c r="V154" s="48"/>
      <c r="W154" s="48"/>
      <c r="X154" s="48"/>
      <c r="Y154" s="67"/>
    </row>
    <row r="155" customHeight="1" spans="1:25">
      <c r="A155" s="83">
        <v>153</v>
      </c>
      <c r="B155" s="48"/>
      <c r="C155" s="48"/>
      <c r="D155" s="63"/>
      <c r="E155" s="103"/>
      <c r="F155" s="103"/>
      <c r="G155" s="103"/>
      <c r="H155" s="103"/>
      <c r="I155" s="63"/>
      <c r="J155" s="48"/>
      <c r="K155" s="65"/>
      <c r="L155" s="53"/>
      <c r="M155" s="53"/>
      <c r="N155" s="48"/>
      <c r="O155" s="48"/>
      <c r="P155" s="48"/>
      <c r="Q155" s="53"/>
      <c r="R155" s="53"/>
      <c r="S155" s="66"/>
      <c r="T155" s="48"/>
      <c r="U155" s="48"/>
      <c r="V155" s="48"/>
      <c r="W155" s="48"/>
      <c r="X155" s="48"/>
      <c r="Y155" s="67"/>
    </row>
    <row r="156" customHeight="1" spans="1:25">
      <c r="A156" s="83">
        <v>154</v>
      </c>
      <c r="B156" s="48"/>
      <c r="C156" s="48"/>
      <c r="D156" s="63"/>
      <c r="E156" s="103"/>
      <c r="F156" s="103"/>
      <c r="G156" s="103"/>
      <c r="H156" s="103"/>
      <c r="I156" s="63"/>
      <c r="J156" s="48"/>
      <c r="K156" s="65"/>
      <c r="L156" s="53"/>
      <c r="M156" s="53"/>
      <c r="N156" s="48"/>
      <c r="O156" s="48"/>
      <c r="P156" s="48"/>
      <c r="Q156" s="53"/>
      <c r="R156" s="53"/>
      <c r="S156" s="66"/>
      <c r="T156" s="48"/>
      <c r="U156" s="48"/>
      <c r="V156" s="48"/>
      <c r="W156" s="48"/>
      <c r="X156" s="48"/>
      <c r="Y156" s="67"/>
    </row>
    <row r="157" customHeight="1" spans="1:25">
      <c r="A157" s="83">
        <v>155</v>
      </c>
      <c r="B157" s="48"/>
      <c r="C157" s="48"/>
      <c r="D157" s="63"/>
      <c r="E157" s="103"/>
      <c r="F157" s="103"/>
      <c r="G157" s="103"/>
      <c r="H157" s="103"/>
      <c r="I157" s="63"/>
      <c r="J157" s="48"/>
      <c r="K157" s="65"/>
      <c r="L157" s="53"/>
      <c r="M157" s="53"/>
      <c r="N157" s="48"/>
      <c r="O157" s="48"/>
      <c r="P157" s="48"/>
      <c r="Q157" s="53"/>
      <c r="R157" s="53"/>
      <c r="S157" s="66"/>
      <c r="T157" s="48"/>
      <c r="U157" s="48"/>
      <c r="V157" s="48"/>
      <c r="W157" s="48"/>
      <c r="X157" s="48"/>
      <c r="Y157" s="67"/>
    </row>
    <row r="158" customHeight="1" spans="1:25">
      <c r="A158" s="83">
        <v>156</v>
      </c>
      <c r="B158" s="48"/>
      <c r="C158" s="48"/>
      <c r="D158" s="63"/>
      <c r="E158" s="103"/>
      <c r="F158" s="103"/>
      <c r="G158" s="103"/>
      <c r="H158" s="103"/>
      <c r="I158" s="63"/>
      <c r="J158" s="48"/>
      <c r="K158" s="65"/>
      <c r="L158" s="53"/>
      <c r="M158" s="53"/>
      <c r="N158" s="48"/>
      <c r="O158" s="48"/>
      <c r="P158" s="48"/>
      <c r="Q158" s="53"/>
      <c r="R158" s="53"/>
      <c r="S158" s="66"/>
      <c r="T158" s="48"/>
      <c r="U158" s="48"/>
      <c r="V158" s="48"/>
      <c r="W158" s="48"/>
      <c r="X158" s="48"/>
      <c r="Y158" s="67"/>
    </row>
    <row r="159" customHeight="1" spans="1:25">
      <c r="A159" s="83">
        <v>157</v>
      </c>
      <c r="B159" s="48"/>
      <c r="C159" s="48"/>
      <c r="D159" s="63"/>
      <c r="E159" s="103"/>
      <c r="F159" s="103"/>
      <c r="G159" s="103"/>
      <c r="H159" s="103"/>
      <c r="I159" s="63"/>
      <c r="J159" s="48"/>
      <c r="K159" s="65"/>
      <c r="L159" s="53"/>
      <c r="M159" s="53"/>
      <c r="N159" s="48"/>
      <c r="O159" s="48"/>
      <c r="P159" s="48"/>
      <c r="Q159" s="53"/>
      <c r="R159" s="53"/>
      <c r="S159" s="66"/>
      <c r="T159" s="48"/>
      <c r="U159" s="48"/>
      <c r="V159" s="48"/>
      <c r="W159" s="48"/>
      <c r="X159" s="48"/>
      <c r="Y159" s="67"/>
    </row>
    <row r="160" customHeight="1" spans="1:25">
      <c r="A160" s="83">
        <v>158</v>
      </c>
      <c r="B160" s="48"/>
      <c r="C160" s="48"/>
      <c r="D160" s="63"/>
      <c r="E160" s="103"/>
      <c r="F160" s="103"/>
      <c r="G160" s="103"/>
      <c r="H160" s="103"/>
      <c r="I160" s="63"/>
      <c r="J160" s="48"/>
      <c r="K160" s="65"/>
      <c r="L160" s="53"/>
      <c r="M160" s="53"/>
      <c r="N160" s="48"/>
      <c r="O160" s="48"/>
      <c r="P160" s="48"/>
      <c r="Q160" s="53"/>
      <c r="R160" s="53"/>
      <c r="S160" s="66"/>
      <c r="T160" s="48"/>
      <c r="U160" s="48"/>
      <c r="V160" s="48"/>
      <c r="W160" s="48"/>
      <c r="X160" s="48"/>
      <c r="Y160" s="67"/>
    </row>
    <row r="161" customHeight="1" spans="1:25">
      <c r="A161" s="83">
        <v>159</v>
      </c>
      <c r="B161" s="48"/>
      <c r="C161" s="48"/>
      <c r="D161" s="63"/>
      <c r="E161" s="103"/>
      <c r="F161" s="103"/>
      <c r="G161" s="103"/>
      <c r="H161" s="103"/>
      <c r="I161" s="63"/>
      <c r="J161" s="48"/>
      <c r="K161" s="65"/>
      <c r="L161" s="53"/>
      <c r="M161" s="53"/>
      <c r="N161" s="48"/>
      <c r="O161" s="48"/>
      <c r="P161" s="48"/>
      <c r="Q161" s="53"/>
      <c r="R161" s="53"/>
      <c r="S161" s="66"/>
      <c r="T161" s="48"/>
      <c r="U161" s="48"/>
      <c r="V161" s="48"/>
      <c r="W161" s="48"/>
      <c r="X161" s="48"/>
      <c r="Y161" s="67"/>
    </row>
    <row r="162" ht="14.25"/>
  </sheetData>
  <sheetProtection formatCells="0" formatColumns="0" formatRows="0" insertRows="0" insertColumns="0" insertHyperlinks="0" deleteColumns="0" deleteRows="0" sort="0" autoFilter="0" pivotTables="0"/>
  <autoFilter xmlns:etc="http://www.wps.cn/officeDocument/2017/etCustomData" ref="A2:Y162" etc:filterBottomFollowUsedRange="0">
    <extLst/>
  </autoFilter>
  <mergeCells count="1">
    <mergeCell ref="A1:Y1"/>
  </mergeCells>
  <conditionalFormatting sqref="P4">
    <cfRule type="containsText" dxfId="0" priority="18" operator="between" text="未结案">
      <formula>NOT(ISERROR(SEARCH("未结案",P4)))</formula>
    </cfRule>
    <cfRule type="containsText" dxfId="1" priority="19" operator="between" text="结案">
      <formula>NOT(ISERROR(SEARCH("结案",P4)))</formula>
    </cfRule>
  </conditionalFormatting>
  <conditionalFormatting sqref="C8">
    <cfRule type="duplicateValues" dxfId="2" priority="23"/>
  </conditionalFormatting>
  <conditionalFormatting sqref="P9">
    <cfRule type="containsText" dxfId="0" priority="20" operator="between" text="未结案">
      <formula>NOT(ISERROR(SEARCH("未结案",P9)))</formula>
    </cfRule>
    <cfRule type="containsText" dxfId="1" priority="21" operator="between" text="结案">
      <formula>NOT(ISERROR(SEARCH("结案",P9)))</formula>
    </cfRule>
    <cfRule type="containsText" dxfId="3" priority="22" operator="between" text="已结案">
      <formula>NOT(ISERROR(SEARCH("已结案",P9)))</formula>
    </cfRule>
  </conditionalFormatting>
  <conditionalFormatting sqref="B10:C10">
    <cfRule type="duplicateValues" dxfId="2" priority="248"/>
  </conditionalFormatting>
  <conditionalFormatting sqref="C12">
    <cfRule type="duplicateValues" dxfId="2" priority="17"/>
  </conditionalFormatting>
  <conditionalFormatting sqref="P14">
    <cfRule type="containsText" dxfId="0" priority="14" operator="between" text="未结案">
      <formula>NOT(ISERROR(SEARCH("未结案",P14)))</formula>
    </cfRule>
    <cfRule type="containsText" dxfId="1" priority="15" operator="between" text="结案">
      <formula>NOT(ISERROR(SEARCH("结案",P14)))</formula>
    </cfRule>
    <cfRule type="containsText" dxfId="3" priority="16" operator="between" text="已结案">
      <formula>NOT(ISERROR(SEARCH("已结案",P14)))</formula>
    </cfRule>
  </conditionalFormatting>
  <conditionalFormatting sqref="C15">
    <cfRule type="duplicateValues" dxfId="2" priority="13"/>
  </conditionalFormatting>
  <conditionalFormatting sqref="B18">
    <cfRule type="duplicateValues" dxfId="2" priority="147"/>
  </conditionalFormatting>
  <conditionalFormatting sqref="P23">
    <cfRule type="containsText" dxfId="0" priority="7" operator="between" text="未结案">
      <formula>NOT(ISERROR(SEARCH("未结案",P23)))</formula>
    </cfRule>
    <cfRule type="containsText" dxfId="1" priority="8" operator="between" text="结案">
      <formula>NOT(ISERROR(SEARCH("结案",P23)))</formula>
    </cfRule>
    <cfRule type="containsText" dxfId="3" priority="9" operator="between" text="已结案">
      <formula>NOT(ISERROR(SEARCH("已结案",P23)))</formula>
    </cfRule>
  </conditionalFormatting>
  <conditionalFormatting sqref="P141">
    <cfRule type="containsText" dxfId="0" priority="48" operator="between" text="未结案">
      <formula>NOT(ISERROR(SEARCH("未结案",P141)))</formula>
    </cfRule>
    <cfRule type="containsText" dxfId="1" priority="49" operator="between" text="结案">
      <formula>NOT(ISERROR(SEARCH("结案",P141)))</formula>
    </cfRule>
    <cfRule type="containsText" dxfId="3" priority="50" operator="between" text="已结案">
      <formula>NOT(ISERROR(SEARCH("已结案",P141)))</formula>
    </cfRule>
  </conditionalFormatting>
  <conditionalFormatting sqref="P142">
    <cfRule type="containsText" dxfId="0" priority="45" operator="between" text="未结案">
      <formula>NOT(ISERROR(SEARCH("未结案",P142)))</formula>
    </cfRule>
    <cfRule type="containsText" dxfId="1" priority="46" operator="between" text="结案">
      <formula>NOT(ISERROR(SEARCH("结案",P142)))</formula>
    </cfRule>
    <cfRule type="containsText" dxfId="3" priority="47" operator="between" text="已结案">
      <formula>NOT(ISERROR(SEARCH("已结案",P142)))</formula>
    </cfRule>
  </conditionalFormatting>
  <conditionalFormatting sqref="P152">
    <cfRule type="containsText" dxfId="0" priority="31" operator="between" text="未结案">
      <formula>NOT(ISERROR(SEARCH("未结案",P152)))</formula>
    </cfRule>
    <cfRule type="containsText" dxfId="1" priority="32" operator="between" text="结案">
      <formula>NOT(ISERROR(SEARCH("结案",P152)))</formula>
    </cfRule>
    <cfRule type="containsText" dxfId="3" priority="33" operator="between" text="已结案">
      <formula>NOT(ISERROR(SEARCH("已结案",P152)))</formula>
    </cfRule>
  </conditionalFormatting>
  <conditionalFormatting sqref="C3:C4">
    <cfRule type="duplicateValues" dxfId="2" priority="24"/>
  </conditionalFormatting>
  <conditionalFormatting sqref="P6:P8">
    <cfRule type="containsText" dxfId="0" priority="28" operator="between" text="未结案">
      <formula>NOT(ISERROR(SEARCH("未结案",P6)))</formula>
    </cfRule>
    <cfRule type="containsText" dxfId="1" priority="29" operator="between" text="结案">
      <formula>NOT(ISERROR(SEARCH("结案",P6)))</formula>
    </cfRule>
    <cfRule type="containsText" dxfId="3" priority="30" operator="between" text="已结案">
      <formula>NOT(ISERROR(SEARCH("已结案",P6)))</formula>
    </cfRule>
  </conditionalFormatting>
  <conditionalFormatting sqref="P20:P22">
    <cfRule type="containsText" dxfId="0" priority="10" operator="between" text="未结案">
      <formula>NOT(ISERROR(SEARCH("未结案",P20)))</formula>
    </cfRule>
    <cfRule type="containsText" dxfId="1" priority="11" operator="between" text="结案">
      <formula>NOT(ISERROR(SEARCH("结案",P20)))</formula>
    </cfRule>
    <cfRule type="containsText" dxfId="3" priority="12" operator="between" text="已结案">
      <formula>NOT(ISERROR(SEARCH("已结案",P20)))</formula>
    </cfRule>
  </conditionalFormatting>
  <conditionalFormatting sqref="P26:P29">
    <cfRule type="containsText" dxfId="0" priority="4" operator="between" text="未结案">
      <formula>NOT(ISERROR(SEARCH("未结案",P26)))</formula>
    </cfRule>
    <cfRule type="containsText" dxfId="1" priority="5" operator="between" text="结案">
      <formula>NOT(ISERROR(SEARCH("结案",P26)))</formula>
    </cfRule>
    <cfRule type="containsText" dxfId="3" priority="6" operator="between" text="已结案">
      <formula>NOT(ISERROR(SEARCH("已结案",P26)))</formula>
    </cfRule>
  </conditionalFormatting>
  <conditionalFormatting sqref="P42:P44">
    <cfRule type="containsText" dxfId="0" priority="1" operator="between" text="未结案">
      <formula>NOT(ISERROR(SEARCH("未结案",P42)))</formula>
    </cfRule>
    <cfRule type="containsText" dxfId="1" priority="2" operator="between" text="结案">
      <formula>NOT(ISERROR(SEARCH("结案",P42)))</formula>
    </cfRule>
    <cfRule type="containsText" dxfId="3" priority="3" operator="between" text="已结案">
      <formula>NOT(ISERROR(SEARCH("已结案",P42)))</formula>
    </cfRule>
  </conditionalFormatting>
  <conditionalFormatting sqref="P2:P5 P10:P13 P15:P19 P24:P25 P30:P41 P45:P140 P145:P146 P162:P1048576">
    <cfRule type="containsText" dxfId="3" priority="65" operator="between" text="已结案">
      <formula>NOT(ISERROR(SEARCH("已结案",P2)))</formula>
    </cfRule>
  </conditionalFormatting>
  <conditionalFormatting sqref="P5 P162:P1048576">
    <cfRule type="containsText" dxfId="0" priority="37" operator="between" text="未结案">
      <formula>NOT(ISERROR(SEARCH("未结案",P5)))</formula>
    </cfRule>
    <cfRule type="containsText" dxfId="1" priority="38" operator="between" text="结案">
      <formula>NOT(ISERROR(SEARCH("结案",P5)))</formula>
    </cfRule>
  </conditionalFormatting>
  <conditionalFormatting sqref="P10:P13 P15:P19 P24:P25 P30:P41 P45:P140 P145:P146">
    <cfRule type="containsText" dxfId="0" priority="63" operator="between" text="未结案">
      <formula>NOT(ISERROR(SEARCH("未结案",P10)))</formula>
    </cfRule>
    <cfRule type="containsText" dxfId="1" priority="64" operator="between" text="结案">
      <formula>NOT(ISERROR(SEARCH("结案",P10)))</formula>
    </cfRule>
  </conditionalFormatting>
  <conditionalFormatting sqref="P143:P144 P147:P151 P153:P161">
    <cfRule type="containsText" dxfId="0" priority="39" operator="between" text="未结案">
      <formula>NOT(ISERROR(SEARCH("未结案",P143)))</formula>
    </cfRule>
    <cfRule type="containsText" dxfId="1" priority="40" operator="between" text="结案">
      <formula>NOT(ISERROR(SEARCH("结案",P143)))</formula>
    </cfRule>
    <cfRule type="containsText" dxfId="3" priority="41" operator="between" text="已结案">
      <formula>NOT(ISERROR(SEARCH("已结案",P143)))</formula>
    </cfRule>
  </conditionalFormatting>
  <dataValidations count="9">
    <dataValidation type="list" allowBlank="1" showInputMessage="1" showErrorMessage="1" sqref="L14 D74 D1:D64 D76:D1048576">
      <formula1>"是,否"</formula1>
    </dataValidation>
    <dataValidation type="list" allowBlank="1" showInputMessage="1" showErrorMessage="1" sqref="B18">
      <formula1>"中东,北美,南美,拉美,南亚,东南亚,非洲,东欧,西欧,战略OEM,OBG"</formula1>
    </dataValidation>
    <dataValidation type="list" allowBlank="1" showInputMessage="1" showErrorMessage="1" sqref="B64 B73 B74 B1:B17 B19:B49 B52:B61 B77:B1048576">
      <formula1>"中东,北美,南美,拉美,东欧,西欧,东南亚,南亚,战略OEM,非洲"</formula1>
    </dataValidation>
    <dataValidation type="list" allowBlank="1" showInputMessage="1" showErrorMessage="1" sqref="B75:B76">
      <formula1>"中东,北美,东南亚,南亚,东欧,西欧,拉美,南美,战略OEM,北非,中南非,OBG"</formula1>
    </dataValidation>
    <dataValidation type="list" allowBlank="1" showInputMessage="1" showErrorMessage="1" sqref="J1:J8 J10:J64 J74:J1048576">
      <formula1>"定频整机,变频整机,定频散件,变频散件,商用散件,柜机,窗机,易损件,饮水机,天花机,风管机"</formula1>
    </dataValidation>
    <dataValidation type="list" allowBlank="1" showInputMessage="1" showErrorMessage="1" sqref="O1:O64 O74:O1048576">
      <formula1>"客服,品质"</formula1>
    </dataValidation>
    <dataValidation type="list" allowBlank="1" showInputMessage="1" showErrorMessage="1" sqref="P1:P64 P74:P1048576">
      <formula1>"结案,未结案,关闭,暂停"</formula1>
    </dataValidation>
    <dataValidation type="list" allowBlank="1" showInputMessage="1" showErrorMessage="1" sqref="U1:U64 U74:U78 U80:U1048576">
      <formula1>"电控,装配问题,裂管/漏氟,部品不良,包装破损,错漏发,噪音,结构不良,遥控器不良,外观不良,能力不足,漏水,压缩机,货柜漏水,散件订单设计,认证不符,其它,工艺设计,账物不符,标准差异,装柜问题,漏印商标,设计问题,设计优化"</formula1>
    </dataValidation>
    <dataValidation type="list" allowBlank="1" showInputMessage="1" showErrorMessage="1" sqref="W1:X26 W28:X64 W74:X1048576">
      <formula1>"有,无"</formula1>
    </dataValidation>
  </dataValidations>
  <pageMargins left="0.698611111111111" right="0.698611111111111" top="0.75" bottom="0.75" header="0.3" footer="0.3"/>
  <pageSetup paperSize="9" scale="35" fitToHeight="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Q10"/>
  <sheetViews>
    <sheetView zoomScale="85" zoomScaleNormal="85" workbookViewId="0">
      <pane ySplit="2" topLeftCell="A3" activePane="bottomLeft" state="frozen"/>
      <selection/>
      <selection pane="bottomLeft" activeCell="D12" sqref="D12"/>
    </sheetView>
  </sheetViews>
  <sheetFormatPr defaultColWidth="9" defaultRowHeight="38.25" customHeight="1"/>
  <cols>
    <col min="1" max="1" width="8.38333333333333" style="2" customWidth="1"/>
    <col min="2" max="2" width="11.25" style="3" customWidth="1"/>
    <col min="3" max="3" width="14.3833333333333" style="2" customWidth="1"/>
    <col min="4" max="4" width="7.13333333333333" style="2" customWidth="1"/>
    <col min="5" max="5" width="19.75" style="2" customWidth="1"/>
    <col min="6" max="6" width="17.5" style="2" customWidth="1"/>
    <col min="7" max="7" width="8.63333333333333" style="4" customWidth="1"/>
    <col min="8" max="8" width="25.8833333333333" style="2" customWidth="1"/>
    <col min="9" max="9" width="11.3833333333333" style="3" customWidth="1"/>
    <col min="10" max="10" width="34" style="5" customWidth="1"/>
    <col min="11" max="11" width="11.5" style="3" customWidth="1"/>
    <col min="12" max="12" width="7.25" style="4" customWidth="1"/>
    <col min="13" max="13" width="26" style="6" customWidth="1"/>
    <col min="14" max="14" width="8.5" style="2" customWidth="1"/>
    <col min="15" max="15" width="11.3833333333333" style="2" customWidth="1"/>
    <col min="16" max="16" width="13.1333333333333" style="7" customWidth="1"/>
    <col min="17" max="17" width="26.1333333333333" style="2" customWidth="1"/>
    <col min="18" max="16384" width="9" style="2"/>
  </cols>
  <sheetData>
    <row r="1" customHeight="1" spans="1:17">
      <c r="A1" s="8" t="s">
        <v>432</v>
      </c>
      <c r="B1" s="8"/>
      <c r="C1" s="8"/>
      <c r="D1" s="8"/>
      <c r="E1" s="8"/>
      <c r="F1" s="8"/>
      <c r="G1" s="8"/>
      <c r="H1" s="8"/>
      <c r="I1" s="8"/>
      <c r="J1" s="8"/>
      <c r="K1" s="8"/>
      <c r="L1" s="8"/>
      <c r="M1" s="8"/>
      <c r="N1" s="8"/>
      <c r="O1" s="8"/>
      <c r="P1" s="8"/>
      <c r="Q1" s="8"/>
    </row>
    <row r="2" s="1" customFormat="1" customHeight="1" spans="1:17">
      <c r="A2" s="9" t="s">
        <v>433</v>
      </c>
      <c r="B2" s="10" t="s">
        <v>434</v>
      </c>
      <c r="C2" s="9" t="s">
        <v>435</v>
      </c>
      <c r="D2" s="9" t="s">
        <v>436</v>
      </c>
      <c r="E2" s="9" t="s">
        <v>437</v>
      </c>
      <c r="F2" s="9" t="s">
        <v>438</v>
      </c>
      <c r="G2" s="11" t="s">
        <v>439</v>
      </c>
      <c r="H2" s="9" t="s">
        <v>440</v>
      </c>
      <c r="I2" s="10" t="s">
        <v>441</v>
      </c>
      <c r="J2" s="9" t="s">
        <v>442</v>
      </c>
      <c r="K2" s="10" t="s">
        <v>443</v>
      </c>
      <c r="L2" s="11" t="s">
        <v>444</v>
      </c>
      <c r="M2" s="12" t="s">
        <v>445</v>
      </c>
      <c r="N2" s="9" t="s">
        <v>14</v>
      </c>
      <c r="O2" s="9" t="s">
        <v>446</v>
      </c>
      <c r="P2" s="13" t="s">
        <v>447</v>
      </c>
      <c r="Q2" s="9" t="s">
        <v>25</v>
      </c>
    </row>
    <row r="3" customHeight="1" spans="1:17">
      <c r="A3" s="14"/>
      <c r="B3" s="15"/>
      <c r="C3" s="14"/>
      <c r="D3" s="14"/>
      <c r="E3" s="14"/>
      <c r="F3" s="14"/>
      <c r="G3" s="16"/>
      <c r="H3" s="17"/>
      <c r="I3" s="15"/>
      <c r="J3" s="17"/>
      <c r="K3" s="15"/>
      <c r="L3" s="16"/>
      <c r="M3" s="18"/>
      <c r="N3" s="14"/>
      <c r="O3" s="14"/>
      <c r="P3" s="19"/>
      <c r="Q3" s="14"/>
    </row>
    <row r="4" customHeight="1" spans="1:17">
      <c r="A4" s="14"/>
      <c r="B4" s="15"/>
      <c r="C4" s="14"/>
      <c r="D4" s="14"/>
      <c r="E4" s="14"/>
      <c r="F4" s="20"/>
      <c r="G4" s="16"/>
      <c r="H4" s="17"/>
      <c r="I4" s="15"/>
      <c r="J4" s="17"/>
      <c r="K4" s="15"/>
      <c r="L4" s="16"/>
      <c r="M4" s="18"/>
      <c r="N4" s="14"/>
      <c r="O4" s="14"/>
      <c r="P4" s="19"/>
      <c r="Q4" s="14"/>
    </row>
    <row r="5" customHeight="1" spans="1:17">
      <c r="A5" s="14"/>
      <c r="B5" s="15"/>
      <c r="C5" s="14"/>
      <c r="D5" s="14"/>
      <c r="E5" s="14"/>
      <c r="F5" s="14"/>
      <c r="G5" s="16"/>
      <c r="H5" s="14"/>
      <c r="I5" s="15"/>
      <c r="J5" s="17"/>
      <c r="K5" s="15"/>
      <c r="L5" s="16"/>
      <c r="M5" s="18"/>
      <c r="N5" s="14"/>
      <c r="O5" s="14"/>
      <c r="P5" s="19"/>
      <c r="Q5" s="14"/>
    </row>
    <row r="6" customHeight="1" spans="1:17">
      <c r="A6" s="14"/>
      <c r="B6" s="15"/>
      <c r="C6" s="14"/>
      <c r="D6" s="21"/>
      <c r="E6" s="14"/>
      <c r="F6" s="14"/>
      <c r="G6" s="16"/>
      <c r="H6" s="14"/>
      <c r="I6" s="15"/>
      <c r="J6" s="17"/>
      <c r="K6" s="15"/>
      <c r="L6" s="16"/>
      <c r="M6" s="18"/>
      <c r="N6" s="14"/>
      <c r="O6" s="14"/>
      <c r="P6" s="19"/>
      <c r="Q6" s="14"/>
    </row>
    <row r="7" customHeight="1" spans="1:17">
      <c r="A7" s="14"/>
      <c r="B7" s="15"/>
      <c r="C7" s="14"/>
      <c r="D7" s="14"/>
      <c r="E7" s="14"/>
      <c r="F7" s="14"/>
      <c r="G7" s="16"/>
      <c r="H7" s="14"/>
      <c r="I7" s="15"/>
      <c r="J7" s="17"/>
      <c r="K7" s="15"/>
      <c r="L7" s="16"/>
      <c r="M7" s="18"/>
      <c r="N7" s="14"/>
      <c r="O7" s="14"/>
      <c r="P7" s="19"/>
      <c r="Q7" s="14"/>
    </row>
    <row r="8" customHeight="1" spans="1:17">
      <c r="A8" s="14"/>
      <c r="B8" s="15"/>
      <c r="C8" s="14"/>
      <c r="D8" s="14"/>
      <c r="E8" s="14"/>
      <c r="F8" s="14"/>
      <c r="G8" s="16"/>
      <c r="H8" s="14"/>
      <c r="I8" s="15"/>
      <c r="J8" s="17"/>
      <c r="K8" s="15"/>
      <c r="L8" s="16"/>
      <c r="M8" s="18"/>
      <c r="N8" s="14"/>
      <c r="O8" s="14"/>
      <c r="P8" s="19"/>
      <c r="Q8" s="14"/>
    </row>
    <row r="9" customHeight="1" spans="1:17">
      <c r="A9" s="14"/>
      <c r="B9" s="15"/>
      <c r="C9" s="14"/>
      <c r="D9" s="14"/>
      <c r="E9" s="14"/>
      <c r="F9" s="14"/>
      <c r="G9" s="16"/>
      <c r="H9" s="14"/>
      <c r="I9" s="15"/>
      <c r="J9" s="17"/>
      <c r="K9" s="15"/>
      <c r="L9" s="16"/>
      <c r="M9" s="18"/>
      <c r="N9" s="14"/>
      <c r="O9" s="14"/>
      <c r="P9" s="19"/>
      <c r="Q9" s="14"/>
    </row>
    <row r="10" customHeight="1" spans="1:17">
      <c r="A10" s="14"/>
      <c r="B10" s="15"/>
      <c r="C10" s="14"/>
      <c r="D10" s="14"/>
      <c r="E10" s="14"/>
      <c r="F10" s="14"/>
      <c r="G10" s="16"/>
      <c r="H10" s="14"/>
      <c r="I10" s="15"/>
      <c r="J10" s="17"/>
      <c r="K10" s="15"/>
      <c r="L10" s="16"/>
      <c r="M10" s="18"/>
      <c r="N10" s="14"/>
      <c r="O10" s="14"/>
      <c r="P10" s="19"/>
      <c r="Q10" s="14"/>
    </row>
  </sheetData>
  <sheetProtection formatCells="0" formatColumns="0" formatRows="0" insertRows="0" insertColumns="0" insertHyperlinks="0" deleteColumns="0" deleteRows="0" sort="0" autoFilter="0" pivotTables="0"/>
  <autoFilter xmlns:etc="http://www.wps.cn/officeDocument/2017/etCustomData" ref="C2:Q6" etc:filterBottomFollowUsedRange="0">
    <extLst/>
  </autoFilter>
  <mergeCells count="1">
    <mergeCell ref="A1:Q1"/>
  </mergeCells>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3" interlineOnOff="0" interlineColor="0" isDbSheet="0" isDashBoardSheet="0" isDbDashBoardSheet="0" isFlexPaperSheet="0">
      <cellprotection/>
      <appEtDbRelations/>
    </woSheetProps>
    <woSheetProps sheetStid="11" interlineOnOff="0" interlineColor="0" isDbSheet="0" isDashBoardSheet="0" isDbDashBoardSheet="0" isFlexPaperSheet="0">
      <cellprotection/>
      <appEtDbRelations/>
    </woSheetProps>
  </woSheetsProps>
  <woBookProps>
    <bookSettings fileId="537471125337"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3"/>
  <pixelatorList sheetStid="11"/>
  <pixelatorList sheetStid="12"/>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Company>微软中国</Company>
  <Application>WPS Office WWO_wpscloud_20260627120303-b172d4396d</Application>
  <HeadingPairs>
    <vt:vector size="2" baseType="variant">
      <vt:variant>
        <vt:lpstr>工作表</vt:lpstr>
      </vt:variant>
      <vt:variant>
        <vt:i4>2</vt:i4>
      </vt:variant>
    </vt:vector>
  </HeadingPairs>
  <TitlesOfParts>
    <vt:vector size="2" baseType="lpstr">
      <vt:lpstr>所有客诉</vt:lpstr>
      <vt:lpstr>客户退回件台账</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微软用户</dc:creator>
  <cp:lastModifiedBy>Alina Yang</cp:lastModifiedBy>
  <dcterms:created xsi:type="dcterms:W3CDTF">2013-09-06T18:33:00Z</dcterms:created>
  <cp:lastPrinted>2016-12-07T23:01:00Z</cp:lastPrinted>
  <dcterms:modified xsi:type="dcterms:W3CDTF">2026-07-02T17:04:00Z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2052-12.9.0.27482</vt:lpwstr>
  </property>
  <property fmtid="{D5CDD505-2E9C-101B-9397-08002B2CF9AE}" pid="3" name="ICV">
    <vt:lpwstr>FFA193221E97440FB3CE61952A353B1B_13</vt:lpwstr>
  </property>
  <property fmtid="{D5CDD505-2E9C-101B-9397-08002B2CF9AE}" pid="4" name="CalculationRule">
    <vt:i4>0</vt:i4>
  </property>
</Properties>
</file>